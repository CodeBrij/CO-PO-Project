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1000" windowHeight="9120" tabRatio="600" firstSheet="0" activeTab="4" autoFilterDateGrouping="1"/>
  </bookViews>
  <sheets>
    <sheet name="Midsem" sheetId="1" state="visible" r:id="rId1"/>
    <sheet name="Endsem" sheetId="2" state="visible" r:id="rId2"/>
    <sheet name="CA1" sheetId="3" state="visible" r:id="rId3"/>
    <sheet name="CA2" sheetId="4" state="visible" r:id="rId4"/>
    <sheet name="Survey" sheetId="5" state="visible" r:id="rId5"/>
    <sheet name="Attainment" sheetId="6" state="visible" r:id="rId6"/>
    <sheet name="PO Attainment" sheetId="7" state="visible" r:id="rId7"/>
    <sheet name="CO Information" sheetId="8" state="visible" r:id="rId8"/>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2">
    <font>
      <name val="Calibri"/>
      <charset val="134"/>
      <color theme="1"/>
      <sz val="11"/>
      <scheme val="minor"/>
    </font>
    <font>
      <name val="Calibri"/>
      <charset val="134"/>
      <b val="1"/>
      <sz val="11"/>
      <scheme val="minor"/>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9">
    <xf numFmtId="0" fontId="2" fillId="0" borderId="0"/>
    <xf numFmtId="164" fontId="2" fillId="0" borderId="0" applyAlignment="1">
      <alignment vertical="center"/>
    </xf>
    <xf numFmtId="165" fontId="2" fillId="0" borderId="0" applyAlignment="1">
      <alignment vertical="center"/>
    </xf>
    <xf numFmtId="9" fontId="2" fillId="0" borderId="0" applyAlignment="1">
      <alignment vertical="center"/>
    </xf>
    <xf numFmtId="166" fontId="2" fillId="0" borderId="0" applyAlignment="1">
      <alignment vertical="center"/>
    </xf>
    <xf numFmtId="167" fontId="2" fillId="0" borderId="0" applyAlignment="1">
      <alignment vertical="center"/>
    </xf>
    <xf numFmtId="0" fontId="3" fillId="0" borderId="0" applyAlignment="1">
      <alignment vertical="center"/>
    </xf>
    <xf numFmtId="0" fontId="4" fillId="0" borderId="0" applyAlignment="1">
      <alignment vertical="center"/>
    </xf>
    <xf numFmtId="0" fontId="2" fillId="2"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3" borderId="5" applyAlignment="1">
      <alignment vertical="center"/>
    </xf>
    <xf numFmtId="0" fontId="12" fillId="4" borderId="6" applyAlignment="1">
      <alignment vertical="center"/>
    </xf>
    <xf numFmtId="0" fontId="13" fillId="4" borderId="5" applyAlignment="1">
      <alignment vertical="center"/>
    </xf>
    <xf numFmtId="0" fontId="14" fillId="5" borderId="7" applyAlignment="1">
      <alignment vertical="center"/>
    </xf>
    <xf numFmtId="0" fontId="15" fillId="0" borderId="8" applyAlignment="1">
      <alignment vertical="center"/>
    </xf>
    <xf numFmtId="0" fontId="16" fillId="0" borderId="9"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14">
    <xf numFmtId="0" fontId="0" fillId="0" borderId="0" pivotButton="0" quotePrefix="0" xfId="0"/>
    <xf numFmtId="0" fontId="1" fillId="0" borderId="0" applyAlignment="1" pivotButton="0" quotePrefix="0" xfId="0">
      <alignment horizontal="center" vertical="center"/>
    </xf>
    <xf numFmtId="0" fontId="1" fillId="0" borderId="0" pivotButton="0" quotePrefix="0" xfId="0"/>
    <xf numFmtId="0" fontId="1" fillId="0" borderId="0" applyAlignment="1" pivotButton="0" quotePrefix="0" xfId="0">
      <alignment horizontal="left"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pivotButton="0" quotePrefix="0" xfId="0"/>
    <xf numFmtId="0" fontId="1" fillId="0" borderId="1" applyAlignment="1" pivotButton="0" quotePrefix="0" xfId="0">
      <alignment horizontal="left" vertical="center"/>
    </xf>
    <xf numFmtId="0" fontId="1" fillId="0" borderId="1" pivotButton="0" quotePrefix="0" xfId="0"/>
    <xf numFmtId="0" fontId="0" fillId="0" borderId="12" pivotButton="0" quotePrefix="0" xfId="0"/>
    <xf numFmtId="0" fontId="0" fillId="0" borderId="13" pivotButton="0" quotePrefix="0" xfId="0"/>
    <xf numFmtId="0" fontId="0" fillId="0" borderId="16"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25"/>
  <sheetViews>
    <sheetView workbookViewId="0">
      <selection activeCell="A1" sqref="A1:O1"/>
    </sheetView>
  </sheetViews>
  <sheetFormatPr baseColWidth="8" defaultColWidth="9" defaultRowHeight="14.4"/>
  <cols>
    <col width="42" customWidth="1" min="1" max="1"/>
  </cols>
  <sheetData>
    <row r="1">
      <c r="A1" s="5" t="inlineStr">
        <is>
          <t>Vivekanand Education Society's Institute of Technology</t>
        </is>
      </c>
      <c r="B1" s="11" t="n"/>
      <c r="C1" s="11" t="n"/>
      <c r="D1" s="11" t="n"/>
      <c r="E1" s="11" t="n"/>
      <c r="F1" s="11" t="n"/>
      <c r="G1" s="11" t="n"/>
      <c r="H1" s="11" t="n"/>
      <c r="I1" s="11" t="n"/>
      <c r="J1" s="11" t="n"/>
      <c r="K1" s="11" t="n"/>
      <c r="L1" s="11" t="n"/>
      <c r="M1" s="11" t="n"/>
      <c r="N1" s="11" t="n"/>
      <c r="O1" s="12" t="n"/>
    </row>
    <row r="2">
      <c r="A2" s="5" t="inlineStr">
        <is>
          <t>Department of Humanities and Applied Science(FE)</t>
        </is>
      </c>
      <c r="B2" s="11" t="n"/>
      <c r="C2" s="11" t="n"/>
      <c r="D2" s="11" t="n"/>
      <c r="E2" s="11" t="n"/>
      <c r="F2" s="11" t="n"/>
      <c r="G2" s="11" t="n"/>
      <c r="H2" s="11" t="n"/>
      <c r="I2" s="11" t="n"/>
      <c r="J2" s="11" t="n"/>
      <c r="K2" s="11" t="n"/>
      <c r="L2" s="11" t="n"/>
      <c r="M2" s="11" t="n"/>
      <c r="N2" s="11" t="n"/>
      <c r="O2" s="12" t="n"/>
    </row>
    <row r="3">
      <c r="A3" s="5" t="inlineStr">
        <is>
          <t>Academic Year :2024-2025</t>
        </is>
      </c>
      <c r="B3" s="11" t="n"/>
      <c r="C3" s="11" t="n"/>
      <c r="D3" s="11" t="n"/>
      <c r="E3" s="11" t="n"/>
      <c r="F3" s="11" t="n"/>
      <c r="G3" s="11" t="n"/>
      <c r="H3" s="11" t="n"/>
      <c r="I3" s="11" t="n"/>
      <c r="J3" s="11" t="n"/>
      <c r="K3" s="11" t="n"/>
      <c r="L3" s="11" t="n"/>
      <c r="M3" s="11" t="n"/>
      <c r="N3" s="11" t="n"/>
      <c r="O3" s="12" t="n"/>
    </row>
    <row r="4">
      <c r="A4" s="9" t="n"/>
      <c r="B4" s="11" t="n"/>
      <c r="C4" s="11" t="n"/>
      <c r="D4" s="11" t="n"/>
      <c r="E4" s="11" t="n"/>
      <c r="F4" s="11" t="n"/>
      <c r="G4" s="11" t="n"/>
      <c r="H4" s="11" t="n"/>
      <c r="I4" s="11" t="n"/>
      <c r="J4" s="11" t="n"/>
      <c r="K4" s="11" t="n"/>
      <c r="L4" s="11" t="n"/>
      <c r="M4" s="11" t="n"/>
      <c r="N4" s="11" t="n"/>
      <c r="O4" s="12" t="n"/>
    </row>
    <row r="5">
      <c r="A5" s="9" t="inlineStr">
        <is>
          <t xml:space="preserve">  Subject : Universal Human Values - 1                                                                                                                                                                       Class : D5B</t>
        </is>
      </c>
      <c r="B5" s="11" t="n"/>
      <c r="C5" s="11" t="n"/>
      <c r="D5" s="11" t="n"/>
      <c r="E5" s="11" t="n"/>
      <c r="F5" s="11" t="n"/>
      <c r="G5" s="11" t="n"/>
      <c r="H5" s="11" t="n"/>
      <c r="I5" s="11" t="n"/>
      <c r="J5" s="11" t="n"/>
      <c r="K5" s="11" t="n"/>
      <c r="L5" s="11" t="n"/>
      <c r="M5" s="11" t="n"/>
      <c r="N5" s="11" t="n"/>
      <c r="O5" s="12" t="n"/>
    </row>
    <row r="6">
      <c r="A6" s="9" t="inlineStr">
        <is>
          <t xml:space="preserve">  Subject Teacher :s                                                                                                                                                                Semester : I</t>
        </is>
      </c>
      <c r="B6" s="11" t="n"/>
      <c r="C6" s="11" t="n"/>
      <c r="D6" s="11" t="n"/>
      <c r="E6" s="11" t="n"/>
      <c r="F6" s="11" t="n"/>
      <c r="G6" s="11" t="n"/>
      <c r="H6" s="11" t="n"/>
      <c r="I6" s="11" t="n"/>
      <c r="J6" s="11" t="n"/>
      <c r="K6" s="11" t="n"/>
      <c r="L6" s="11" t="n"/>
      <c r="M6" s="11" t="n"/>
      <c r="N6" s="11" t="n"/>
      <c r="O6" s="12" t="n"/>
    </row>
    <row r="7">
      <c r="A7" s="5" t="inlineStr">
        <is>
          <t>Number of Students =1</t>
        </is>
      </c>
      <c r="B7" s="11" t="n"/>
      <c r="C7" s="11" t="n"/>
      <c r="D7" s="11" t="n"/>
      <c r="E7" s="11" t="n"/>
      <c r="F7" s="11" t="n"/>
      <c r="G7" s="11" t="n"/>
      <c r="H7" s="11" t="n"/>
      <c r="I7" s="11" t="n"/>
      <c r="J7" s="11" t="n"/>
      <c r="K7" s="11" t="n"/>
      <c r="L7" s="11" t="n"/>
      <c r="M7" s="11" t="n"/>
      <c r="N7" s="11" t="n"/>
      <c r="O7" s="12" t="n"/>
    </row>
    <row r="8">
      <c r="A8" s="5" t="inlineStr">
        <is>
          <t>Roll Nos.</t>
        </is>
      </c>
      <c r="B8" s="5" t="inlineStr">
        <is>
          <t>1a (2)</t>
        </is>
      </c>
      <c r="C8" s="5" t="inlineStr">
        <is>
          <t>1b (2)</t>
        </is>
      </c>
      <c r="D8" s="5" t="inlineStr">
        <is>
          <t>1c (2)</t>
        </is>
      </c>
      <c r="E8" s="5" t="inlineStr">
        <is>
          <t>1d (2)</t>
        </is>
      </c>
      <c r="F8" s="5" t="inlineStr">
        <is>
          <t>1e (2)</t>
        </is>
      </c>
      <c r="G8" s="5" t="inlineStr">
        <is>
          <t>1f (2)</t>
        </is>
      </c>
      <c r="H8" s="5" t="inlineStr">
        <is>
          <t xml:space="preserve">Q1 </t>
        </is>
      </c>
      <c r="I8" s="5" t="inlineStr">
        <is>
          <t>2a (5)</t>
        </is>
      </c>
      <c r="J8" s="5" t="inlineStr">
        <is>
          <t>2b (5)</t>
        </is>
      </c>
      <c r="K8" s="5" t="inlineStr">
        <is>
          <t>Q2</t>
        </is>
      </c>
      <c r="L8" s="5" t="inlineStr">
        <is>
          <t>3a (5)</t>
        </is>
      </c>
      <c r="M8" s="5" t="inlineStr">
        <is>
          <t>3b (5)</t>
        </is>
      </c>
      <c r="N8" s="5" t="inlineStr">
        <is>
          <t>Q3</t>
        </is>
      </c>
      <c r="O8" s="5" t="inlineStr">
        <is>
          <t>Total</t>
        </is>
      </c>
    </row>
    <row r="9">
      <c r="A9" s="5" t="inlineStr">
        <is>
          <t>COs</t>
        </is>
      </c>
      <c r="B9" s="5" t="inlineStr">
        <is>
          <t>CO1</t>
        </is>
      </c>
      <c r="C9" s="5" t="inlineStr">
        <is>
          <t>CO1</t>
        </is>
      </c>
      <c r="D9" s="5" t="inlineStr">
        <is>
          <t>CO1</t>
        </is>
      </c>
      <c r="E9" s="5" t="inlineStr">
        <is>
          <t>CO1</t>
        </is>
      </c>
      <c r="F9" s="5" t="inlineStr">
        <is>
          <t>CO1</t>
        </is>
      </c>
      <c r="G9" s="5" t="inlineStr">
        <is>
          <t>CO1</t>
        </is>
      </c>
      <c r="H9" s="5" t="n"/>
      <c r="I9" s="5" t="inlineStr">
        <is>
          <t>CO1</t>
        </is>
      </c>
      <c r="J9" s="5" t="inlineStr">
        <is>
          <t>CO1</t>
        </is>
      </c>
      <c r="K9" s="5" t="n"/>
      <c r="L9" s="5" t="inlineStr">
        <is>
          <t>CO1</t>
        </is>
      </c>
      <c r="M9" s="5" t="inlineStr">
        <is>
          <t>CO1</t>
        </is>
      </c>
      <c r="N9" s="5" t="n"/>
      <c r="O9" s="5" t="n">
        <v>20</v>
      </c>
    </row>
    <row r="10">
      <c r="A10" s="6" t="n">
        <v>1</v>
      </c>
      <c r="B10" s="6" t="n"/>
      <c r="C10" s="6" t="n"/>
      <c r="D10" s="6" t="n"/>
      <c r="E10" s="6" t="n"/>
      <c r="F10" s="6" t="n"/>
      <c r="G10" s="6" t="n"/>
      <c r="H10" s="6">
        <f>ROUND(SUM(B10:G10),0)</f>
        <v/>
      </c>
      <c r="I10" s="6" t="n"/>
      <c r="J10" s="6" t="n"/>
      <c r="K10" s="6">
        <f>ROUND(SUM(I10:J10),0)</f>
        <v/>
      </c>
      <c r="L10" s="6" t="n"/>
      <c r="M10" s="6" t="n"/>
      <c r="N10" s="6">
        <f>ROUND(SUM(L10:M10),0)</f>
        <v/>
      </c>
      <c r="O10" s="6">
        <f>ROUND(SUM(H10,K10,N10),0)</f>
        <v/>
      </c>
    </row>
    <row r="11">
      <c r="A11" s="8" t="inlineStr">
        <is>
          <t>Count(Attempted)</t>
        </is>
      </c>
      <c r="B11" s="6">
        <f>COUNT(B10:B10)</f>
        <v/>
      </c>
      <c r="C11" s="6">
        <f>COUNT(C10:C10)</f>
        <v/>
      </c>
      <c r="D11" s="6">
        <f>COUNT(D10:D10)</f>
        <v/>
      </c>
      <c r="E11" s="6">
        <f>COUNT(E10:E10)</f>
        <v/>
      </c>
      <c r="F11" s="6">
        <f>COUNT(F10:F10)</f>
        <v/>
      </c>
      <c r="G11" s="6">
        <f>COUNT(G10:G10)</f>
        <v/>
      </c>
      <c r="H11" s="6">
        <f>COUNT(H10:H10)</f>
        <v/>
      </c>
      <c r="I11" s="6">
        <f>COUNT(I10:I10)</f>
        <v/>
      </c>
      <c r="J11" s="6">
        <f>COUNT(J10:J10)</f>
        <v/>
      </c>
      <c r="K11" s="6">
        <f>COUNT(K10:K10)</f>
        <v/>
      </c>
      <c r="L11" s="6">
        <f>COUNT(L10:L10)</f>
        <v/>
      </c>
      <c r="M11" s="6">
        <f>COUNT(M10:M10)</f>
        <v/>
      </c>
      <c r="N11" s="6">
        <f>COUNT(N10:N10)</f>
        <v/>
      </c>
      <c r="O11" s="6">
        <f>COUNT(O10:O10)</f>
        <v/>
      </c>
    </row>
    <row r="12">
      <c r="A12" s="8" t="inlineStr">
        <is>
          <t>Average Marks</t>
        </is>
      </c>
      <c r="B12" s="6">
        <f>IF(COUNT(B10:B10)=0, "-", ROUND(AVERAGE(B10:B10), 0))</f>
        <v/>
      </c>
      <c r="C12" s="6">
        <f>IF(COUNT(C10:C10)=0, "-", ROUND(AVERAGE(C10:C10), 0))</f>
        <v/>
      </c>
      <c r="D12" s="6">
        <f>IF(COUNT(D10:D10)=0, "-", ROUND(AVERAGE(D10:D10), 0))</f>
        <v/>
      </c>
      <c r="E12" s="6">
        <f>IF(COUNT(E10:E10)=0, "-", ROUND(AVERAGE(E10:E10), 0))</f>
        <v/>
      </c>
      <c r="F12" s="6">
        <f>IF(COUNT(F10:F10)=0, "-", ROUND(AVERAGE(F10:F10), 0))</f>
        <v/>
      </c>
      <c r="G12" s="6">
        <f>IF(COUNT(G10:G10)=0, "-", ROUND(AVERAGE(G10:G10), 0))</f>
        <v/>
      </c>
      <c r="H12" s="6">
        <f>IF(COUNT(H10:H10)=0, "-", ROUND(AVERAGE(H10:H10), 0))</f>
        <v/>
      </c>
      <c r="I12" s="6">
        <f>IF(COUNT(I10:I10)=0, "-", ROUND(AVERAGE(I10:I10), 0))</f>
        <v/>
      </c>
      <c r="J12" s="6">
        <f>IF(COUNT(J10:J10)=0, "-", ROUND(AVERAGE(J10:J10), 0))</f>
        <v/>
      </c>
      <c r="K12" s="6">
        <f>IF(COUNT(K10:K10)=0, "-", ROUND(AVERAGE(K10:K10), 0))</f>
        <v/>
      </c>
      <c r="L12" s="6">
        <f>IF(COUNT(L10:L10)=0, "-", ROUND(AVERAGE(L10:L10), 0))</f>
        <v/>
      </c>
      <c r="M12" s="6">
        <f>IF(COUNT(M10:M10)=0, "-", ROUND(AVERAGE(M10:M10), 0))</f>
        <v/>
      </c>
      <c r="N12" s="6">
        <f>IF(COUNT(N10:N10)=0, "-", ROUND(AVERAGE(N10:N10), 0))</f>
        <v/>
      </c>
      <c r="O12" s="6">
        <f>IF(COUNT(O10:O10)=0, "-", ROUND(AVERAGE(O10:O10), 0))</f>
        <v/>
      </c>
    </row>
    <row r="13">
      <c r="A13" s="8" t="inlineStr">
        <is>
          <t>Count(&gt;=1%)</t>
        </is>
      </c>
      <c r="B13" s="6">
        <f>COUNTIF(B10:B10,"&gt;=0.02")</f>
        <v/>
      </c>
      <c r="C13" s="6">
        <f>COUNTIF(C10:C10,"&gt;=0.02")</f>
        <v/>
      </c>
      <c r="D13" s="6">
        <f>COUNTIF(D10:D10,"&gt;=0.02")</f>
        <v/>
      </c>
      <c r="E13" s="6">
        <f>COUNTIF(E10:E10,"&gt;=0.02")</f>
        <v/>
      </c>
      <c r="F13" s="6">
        <f>COUNTIF(F10:F10,"&gt;=0.02")</f>
        <v/>
      </c>
      <c r="G13" s="6">
        <f>COUNTIF(G10:G10,"&gt;=0.02")</f>
        <v/>
      </c>
      <c r="H13" s="6">
        <f>COUNTIF(H10:H10,"&gt;=0.05")</f>
        <v/>
      </c>
      <c r="I13" s="6">
        <f>COUNTIF(I10:I10,"&gt;=0.05")</f>
        <v/>
      </c>
      <c r="J13" s="6">
        <f>COUNTIF(J10:J10,"&gt;=0.05")</f>
        <v/>
      </c>
      <c r="K13" s="6">
        <f>COUNTIF(K10:K10,"&gt;=0.05")</f>
        <v/>
      </c>
      <c r="L13" s="6">
        <f>COUNTIF(L10:L10,"&gt;=0.05")</f>
        <v/>
      </c>
      <c r="M13" s="6">
        <f>COUNTIF(M10:M10,"&gt;=0.05")</f>
        <v/>
      </c>
      <c r="N13" s="6">
        <f>COUNTIF(N10:N10,"&gt;=0.05")</f>
        <v/>
      </c>
      <c r="O13" s="6">
        <f>COUNTIF(O10:O10,"&gt;=0.05")</f>
        <v/>
      </c>
    </row>
    <row r="14">
      <c r="A14" s="8" t="inlineStr">
        <is>
          <t>% Count(&gt;=1% w.r.t appeared)</t>
        </is>
      </c>
      <c r="B14" s="6">
        <f>ROUND(IFERROR(B13/B11, 0)*100, 1)</f>
        <v/>
      </c>
      <c r="C14" s="6">
        <f>ROUND(IFERROR(C13/C11, 0)*100, 1)</f>
        <v/>
      </c>
      <c r="D14" s="6">
        <f>ROUND(IFERROR(D13/D11, 0)*100, 1)</f>
        <v/>
      </c>
      <c r="E14" s="6">
        <f>ROUND(IFERROR(E13/E11, 0)*100, 1)</f>
        <v/>
      </c>
      <c r="F14" s="6">
        <f>ROUND(IFERROR(F13/F11, 0)*100, 1)</f>
        <v/>
      </c>
      <c r="G14" s="6">
        <f>ROUND(IFERROR(G13/G11, 0)*100, 1)</f>
        <v/>
      </c>
      <c r="H14" s="6">
        <f>ROUND(IFERROR(H13/H11, 0)*100, 1)</f>
        <v/>
      </c>
      <c r="I14" s="6">
        <f>ROUND(IFERROR(I13/I11, 0)*100, 1)</f>
        <v/>
      </c>
      <c r="J14" s="6">
        <f>ROUND(IFERROR(J13/J11, 0)*100, 1)</f>
        <v/>
      </c>
      <c r="K14" s="6">
        <f>ROUND(IFERROR(K13/K11, 0)*100, 1)</f>
        <v/>
      </c>
      <c r="L14" s="6">
        <f>ROUND(IFERROR(L13/L11, 0)*100, 1)</f>
        <v/>
      </c>
      <c r="M14" s="6">
        <f>ROUND(IFERROR(M13/M11, 0)*100, 1)</f>
        <v/>
      </c>
      <c r="N14" s="6">
        <f>ROUND(IFERROR(N13/N11, 0)*100, 1)</f>
        <v/>
      </c>
      <c r="O14" s="6">
        <f>ROUND(IFERROR(O13/O11, 0)*100, 1)</f>
        <v/>
      </c>
    </row>
    <row r="15">
      <c r="A15" s="8" t="inlineStr">
        <is>
          <t>Count(&gt;=Average Marks of class)</t>
        </is>
      </c>
      <c r="B15" s="6">
        <f>COUNTIF(B10:B10,"&gt;="&amp;B12)</f>
        <v/>
      </c>
      <c r="C15" s="6">
        <f>COUNTIF(C10:C10,"&gt;="&amp;C12)</f>
        <v/>
      </c>
      <c r="D15" s="6">
        <f>COUNTIF(D10:D10,"&gt;="&amp;D12)</f>
        <v/>
      </c>
      <c r="E15" s="6">
        <f>COUNTIF(E10:E10,"&gt;="&amp;E12)</f>
        <v/>
      </c>
      <c r="F15" s="6">
        <f>COUNTIF(F10:F10,"&gt;="&amp;F12)</f>
        <v/>
      </c>
      <c r="G15" s="6">
        <f>COUNTIF(G10:G10,"&gt;="&amp;G12)</f>
        <v/>
      </c>
      <c r="H15" s="6">
        <f>COUNTIF(H10:H10,"&gt;="&amp;H12)</f>
        <v/>
      </c>
      <c r="I15" s="6">
        <f>COUNTIF(I10:I10,"&gt;="&amp;I12)</f>
        <v/>
      </c>
      <c r="J15" s="6">
        <f>COUNTIF(J10:J10,"&gt;="&amp;J12)</f>
        <v/>
      </c>
      <c r="K15" s="6">
        <f>COUNTIF(K10:K10,"&gt;="&amp;K12)</f>
        <v/>
      </c>
      <c r="L15" s="6">
        <f>COUNTIF(L10:L10,"&gt;="&amp;L12)</f>
        <v/>
      </c>
      <c r="M15" s="6">
        <f>COUNTIF(M10:M10,"&gt;="&amp;M12)</f>
        <v/>
      </c>
      <c r="N15" s="6">
        <f>COUNTIF(N10:N10,"&gt;="&amp;N12)</f>
        <v/>
      </c>
      <c r="O15" s="6">
        <f>COUNTIF(O10:O10,"&gt;="&amp;O12)</f>
        <v/>
      </c>
    </row>
    <row r="16">
      <c r="A16" s="8" t="inlineStr">
        <is>
          <t>% Count(&gt;=Average Marks of class w.r.t appeared)</t>
        </is>
      </c>
      <c r="B16" s="6">
        <f>ROUND(IFERROR(B15/B11, 0)*100, 1)</f>
        <v/>
      </c>
      <c r="C16" s="6">
        <f>ROUND(IFERROR(C15/C11, 0)*100, 1)</f>
        <v/>
      </c>
      <c r="D16" s="6">
        <f>ROUND(IFERROR(D15/D11, 0)*100, 1)</f>
        <v/>
      </c>
      <c r="E16" s="6">
        <f>ROUND(IFERROR(E15/E11, 0)*100, 1)</f>
        <v/>
      </c>
      <c r="F16" s="6">
        <f>ROUND(IFERROR(F15/F11, 0)*100, 1)</f>
        <v/>
      </c>
      <c r="G16" s="6">
        <f>ROUND(IFERROR(G15/G11, 0)*100, 1)</f>
        <v/>
      </c>
      <c r="H16" s="6">
        <f>ROUND(IFERROR(H15/H11, 0)*100, 1)</f>
        <v/>
      </c>
      <c r="I16" s="6">
        <f>ROUND(IFERROR(I15/I11, 0)*100, 1)</f>
        <v/>
      </c>
      <c r="J16" s="6">
        <f>ROUND(IFERROR(J15/J11, 0)*100, 1)</f>
        <v/>
      </c>
      <c r="K16" s="6">
        <f>ROUND(IFERROR(K15/K11, 0)*100, 1)</f>
        <v/>
      </c>
      <c r="L16" s="6">
        <f>ROUND(IFERROR(L15/L11, 0)*100, 1)</f>
        <v/>
      </c>
      <c r="M16" s="6">
        <f>ROUND(IFERROR(M15/M11, 0)*100, 1)</f>
        <v/>
      </c>
      <c r="N16" s="6">
        <f>ROUND(IFERROR(N15/N11, 0)*100, 1)</f>
        <v/>
      </c>
      <c r="O16" s="6">
        <f>ROUND(IFERROR(O15/O11, 0)*100, 1)</f>
        <v/>
      </c>
    </row>
    <row r="17">
      <c r="A17" s="10" t="inlineStr">
        <is>
          <t>AL(Based on &gt;=1% Count) (All COs)</t>
        </is>
      </c>
      <c r="B17" s="5">
        <f>IF(B14&lt;60,1,IF(AND(B14&gt;59,B14&lt;70),2,IF(AND(B14&gt;69,B14&lt;80),3,4)))</f>
        <v/>
      </c>
      <c r="C17" s="5">
        <f>IF(C14&lt;60,1,IF(AND(C14&gt;59,C14&lt;70),2,IF(AND(C14&gt;69,C14&lt;80),3,4)))</f>
        <v/>
      </c>
      <c r="D17" s="5">
        <f>IF(D14&lt;60,1,IF(AND(D14&gt;59,D14&lt;70),2,IF(AND(D14&gt;69,D14&lt;80),3,4)))</f>
        <v/>
      </c>
      <c r="E17" s="5">
        <f>IF(E14&lt;60,1,IF(AND(E14&gt;59,E14&lt;70),2,IF(AND(E14&gt;69,E14&lt;80),3,4)))</f>
        <v/>
      </c>
      <c r="F17" s="5">
        <f>IF(F14&lt;60,1,IF(AND(F14&gt;59,F14&lt;70),2,IF(AND(F14&gt;69,F14&lt;80),3,4)))</f>
        <v/>
      </c>
      <c r="G17" s="5">
        <f>IF(G14&lt;60,1,IF(AND(G14&gt;59,G14&lt;70),2,IF(AND(G14&gt;69,G14&lt;80),3,4)))</f>
        <v/>
      </c>
      <c r="H17" s="5">
        <f>IF(H14&lt;60,1,IF(AND(H14&gt;59,H14&lt;70),2,IF(AND(H14&gt;69,H14&lt;80),3,4)))</f>
        <v/>
      </c>
      <c r="I17" s="5">
        <f>IF(I14&lt;60,1,IF(AND(I14&gt;59,I14&lt;70),2,IF(AND(I14&gt;69,I14&lt;80),3,4)))</f>
        <v/>
      </c>
      <c r="J17" s="5">
        <f>IF(J14&lt;60,1,IF(AND(J14&gt;59,J14&lt;70),2,IF(AND(J14&gt;69,J14&lt;80),3,4)))</f>
        <v/>
      </c>
      <c r="K17" s="5">
        <f>IF(K14&lt;60,1,IF(AND(K14&gt;59,K14&lt;70),2,IF(AND(K14&gt;69,K14&lt;80),3,4)))</f>
        <v/>
      </c>
      <c r="L17" s="5">
        <f>IF(L14&lt;60,1,IF(AND(L14&gt;59,L14&lt;70),2,IF(AND(L14&gt;69,L14&lt;80),3,4)))</f>
        <v/>
      </c>
      <c r="M17" s="5">
        <f>IF(M14&lt;60,1,IF(AND(M14&gt;59,M14&lt;70),2,IF(AND(M14&gt;69,M14&lt;80),3,4)))</f>
        <v/>
      </c>
      <c r="N17" s="5">
        <f>IF(N14&lt;60,1,IF(AND(N14&gt;59,N14&lt;70),2,IF(AND(N14&gt;69,N14&lt;80),3,4)))</f>
        <v/>
      </c>
      <c r="O17" s="5">
        <f>IF(O14&lt;60,1,IF(AND(O14&gt;59,O14&lt;70),2,IF(AND(O14&gt;69,O14&lt;80),3,4)))</f>
        <v/>
      </c>
    </row>
    <row r="20">
      <c r="F20" s="5" t="inlineStr">
        <is>
          <t>COs</t>
        </is>
      </c>
      <c r="G20" s="5" t="inlineStr">
        <is>
          <t>AL</t>
        </is>
      </c>
    </row>
    <row r="21">
      <c r="F21" s="6" t="inlineStr">
        <is>
          <t>CO1</t>
        </is>
      </c>
      <c r="G21" s="6">
        <f>ROUND(AVERAGE(B17,C17,D17,E17,F17,G17,I17,J17,L17,M17),1)</f>
        <v/>
      </c>
    </row>
    <row r="22">
      <c r="F22" s="6" t="inlineStr">
        <is>
          <t>CO2</t>
        </is>
      </c>
      <c r="G22" s="6" t="inlineStr">
        <is>
          <t>-</t>
        </is>
      </c>
    </row>
    <row r="23">
      <c r="F23" s="6" t="inlineStr">
        <is>
          <t>CO3</t>
        </is>
      </c>
      <c r="G23" s="6" t="inlineStr">
        <is>
          <t>-</t>
        </is>
      </c>
    </row>
    <row r="24">
      <c r="F24" s="6" t="inlineStr">
        <is>
          <t>CO4</t>
        </is>
      </c>
      <c r="G24" s="6" t="inlineStr">
        <is>
          <t>-</t>
        </is>
      </c>
    </row>
    <row r="25">
      <c r="F25" s="6" t="inlineStr">
        <is>
          <t>CO5</t>
        </is>
      </c>
      <c r="G25" s="6" t="inlineStr">
        <is>
          <t>-</t>
        </is>
      </c>
    </row>
  </sheetData>
  <mergeCells count="7">
    <mergeCell ref="A7:O7"/>
    <mergeCell ref="A2:O2"/>
    <mergeCell ref="A1:O1"/>
    <mergeCell ref="A5:O5"/>
    <mergeCell ref="A6:O6"/>
    <mergeCell ref="A4:O4"/>
    <mergeCell ref="A3:O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ColWidth="9" defaultRowHeight="14.4"/>
  <cols>
    <col width="42" customWidth="1" min="1" max="1"/>
    <col width="22" customWidth="1" min="2" max="2"/>
  </cols>
  <sheetData>
    <row r="1">
      <c r="A1" s="5" t="inlineStr">
        <is>
          <t>Roll No.</t>
        </is>
      </c>
      <c r="B1" s="5" t="inlineStr">
        <is>
          <t>ESE(TH) (Max Marks: 60)</t>
        </is>
      </c>
    </row>
    <row r="2">
      <c r="A2" s="6" t="n"/>
      <c r="B2" s="5" t="inlineStr">
        <is>
          <t>ALL Qs</t>
        </is>
      </c>
    </row>
    <row r="3">
      <c r="A3" s="6" t="n"/>
      <c r="B3" s="5" t="inlineStr">
        <is>
          <t>CO1</t>
        </is>
      </c>
    </row>
    <row r="4">
      <c r="A4" s="6" t="n">
        <v>1</v>
      </c>
      <c r="B4" s="6" t="n"/>
    </row>
    <row r="5">
      <c r="A5" s="7" t="inlineStr">
        <is>
          <t>Count(Attempted)</t>
        </is>
      </c>
      <c r="B5" s="6">
        <f>COUNT(B4:B4)</f>
        <v/>
      </c>
    </row>
    <row r="6">
      <c r="A6" s="7" t="inlineStr">
        <is>
          <t>Average Marks</t>
        </is>
      </c>
      <c r="B6" s="6">
        <f>ROUND(AVERAGE(B4:B4), 0)</f>
        <v/>
      </c>
    </row>
    <row r="7">
      <c r="A7" s="7" t="inlineStr">
        <is>
          <t>Count(&gt;=1%)</t>
        </is>
      </c>
      <c r="B7" s="6">
        <f>COUNTIF(B4:B4, "&gt;=0.6")</f>
        <v/>
      </c>
    </row>
    <row r="8">
      <c r="A8" s="7" t="inlineStr">
        <is>
          <t>% Count(&gt;=1% w.r.t appeared)</t>
        </is>
      </c>
      <c r="B8" s="6">
        <f>ROUND(B7 / B5 * 100, 1)</f>
        <v/>
      </c>
    </row>
    <row r="9">
      <c r="A9" s="7" t="inlineStr">
        <is>
          <t>Count(&gt;=Average Marks of class)</t>
        </is>
      </c>
      <c r="B9" s="6">
        <f>COUNTIF(B4:B4, "&gt;="&amp;B6)</f>
        <v/>
      </c>
    </row>
    <row r="10">
      <c r="A10" s="7" t="inlineStr">
        <is>
          <t>% Count(&gt;=Average Marks of class w.r.t appeared)</t>
        </is>
      </c>
      <c r="B10" s="6">
        <f>ROUND(B9 / B5 * 100, 1)</f>
        <v/>
      </c>
    </row>
    <row r="11">
      <c r="A11" s="9" t="inlineStr">
        <is>
          <t>AL(Based on &gt;=1% Count) (All COs)</t>
        </is>
      </c>
      <c r="B11" s="5">
        <f>IF(B8&lt;60, 1, IF(AND(B8&gt;59, B8&lt;70), 2, IF(AND(B8&gt;69, B8&lt;80), 3, 4)))</f>
        <v/>
      </c>
    </row>
    <row r="14">
      <c r="A14" s="5" t="inlineStr">
        <is>
          <t>COs</t>
        </is>
      </c>
      <c r="B14" s="5" t="inlineStr">
        <is>
          <t>AL</t>
        </is>
      </c>
    </row>
    <row r="15">
      <c r="A15" s="6" t="inlineStr">
        <is>
          <t>CO1</t>
        </is>
      </c>
      <c r="B15" s="6">
        <f>IF(B8&lt;60, 1, IF(AND(B8&gt;59, B8&lt;70), 2, IF(AND(B8&gt;69, B8&lt;80), 3, 4)))</f>
        <v/>
      </c>
    </row>
    <row r="16">
      <c r="A16" s="6" t="inlineStr">
        <is>
          <t>CO2</t>
        </is>
      </c>
      <c r="B16" s="6" t="inlineStr">
        <is>
          <t>-</t>
        </is>
      </c>
    </row>
    <row r="17">
      <c r="A17" s="6" t="inlineStr">
        <is>
          <t>CO3</t>
        </is>
      </c>
      <c r="B17" s="6" t="inlineStr">
        <is>
          <t>-</t>
        </is>
      </c>
    </row>
    <row r="18">
      <c r="A18" s="6" t="inlineStr">
        <is>
          <t>CO4</t>
        </is>
      </c>
      <c r="B18" s="6" t="inlineStr">
        <is>
          <t>-</t>
        </is>
      </c>
    </row>
    <row r="19">
      <c r="A19" s="6" t="inlineStr">
        <is>
          <t>CO5</t>
        </is>
      </c>
      <c r="B19" s="6"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B1"/>
    </sheetView>
  </sheetViews>
  <sheetFormatPr baseColWidth="8" defaultColWidth="9" defaultRowHeight="14.4"/>
  <cols>
    <col width="42" customWidth="1" min="1" max="1"/>
    <col width="16" customWidth="1" min="2" max="2"/>
  </cols>
  <sheetData>
    <row r="1">
      <c r="A1" s="5" t="inlineStr">
        <is>
          <t>Type :NPTEL Course</t>
        </is>
      </c>
      <c r="B1" s="12" t="n"/>
    </row>
    <row r="2">
      <c r="A2" s="6" t="n"/>
      <c r="B2" s="12" t="n"/>
    </row>
    <row r="3">
      <c r="A3" s="5" t="inlineStr">
        <is>
          <t>CA Marksheet</t>
        </is>
      </c>
      <c r="B3" s="12" t="n"/>
    </row>
    <row r="4">
      <c r="A4" s="5" t="inlineStr">
        <is>
          <t>Maximum Marks = 10</t>
        </is>
      </c>
      <c r="B4" s="12" t="n"/>
    </row>
    <row r="5">
      <c r="A5" s="5" t="inlineStr">
        <is>
          <t>Roll No.</t>
        </is>
      </c>
      <c r="B5" s="5" t="inlineStr">
        <is>
          <t>CA1</t>
        </is>
      </c>
    </row>
    <row r="6">
      <c r="A6" s="6" t="n"/>
      <c r="B6" s="5" t="inlineStr">
        <is>
          <t>CO1</t>
        </is>
      </c>
    </row>
    <row r="7">
      <c r="A7" s="6" t="n">
        <v>1</v>
      </c>
      <c r="B7" s="6" t="n"/>
    </row>
    <row r="8">
      <c r="A8" s="7" t="inlineStr">
        <is>
          <t>Count(Attempted)</t>
        </is>
      </c>
      <c r="B8" s="6">
        <f>COUNT(B7:B7)</f>
        <v/>
      </c>
    </row>
    <row r="9">
      <c r="A9" s="7" t="inlineStr">
        <is>
          <t>Average Marks</t>
        </is>
      </c>
      <c r="B9" s="6">
        <f>ROUND(AVERAGE(B7:B7), 0)</f>
        <v/>
      </c>
    </row>
    <row r="10">
      <c r="A10" s="7" t="inlineStr">
        <is>
          <t>Count(&gt;=1%)</t>
        </is>
      </c>
      <c r="B10" s="6">
        <f>COUNTIF(B7:B7, "&gt;=0.1")</f>
        <v/>
      </c>
    </row>
    <row r="11">
      <c r="A11" s="7" t="inlineStr">
        <is>
          <t>% Count(&gt;=1% w.r.t appeared)</t>
        </is>
      </c>
      <c r="B11" s="6">
        <f>ROUND(B10 / B8 * 100, 1)</f>
        <v/>
      </c>
    </row>
    <row r="12">
      <c r="A12" s="7" t="inlineStr">
        <is>
          <t>Count(&gt;=Average Marks of class)</t>
        </is>
      </c>
      <c r="B12" s="6">
        <f>COUNTIF(B7:B7, "&gt;="&amp;B9)</f>
        <v/>
      </c>
    </row>
    <row r="13">
      <c r="A13" s="7" t="inlineStr">
        <is>
          <t>% Count(&gt;=Average Marks of class w.r.t appeared)</t>
        </is>
      </c>
      <c r="B13" s="6">
        <f>ROUND(B12 / B8 * 100, 1)</f>
        <v/>
      </c>
    </row>
    <row r="14">
      <c r="A14" s="9" t="inlineStr">
        <is>
          <t>AL(Based on &gt;=1% Count) (All COs)</t>
        </is>
      </c>
      <c r="B14" s="6">
        <f>IF(B11&lt;60, 1, IF(AND(B11&gt;59, B11&lt;70), 2, IF(AND(B11&gt;69, B11&lt;80), 3, 4)))</f>
        <v/>
      </c>
    </row>
    <row r="17">
      <c r="B17" s="5" t="inlineStr">
        <is>
          <t>COs</t>
        </is>
      </c>
      <c r="C17" s="5" t="inlineStr">
        <is>
          <t>AL</t>
        </is>
      </c>
    </row>
    <row r="18">
      <c r="B18" s="6" t="inlineStr">
        <is>
          <t>CO1</t>
        </is>
      </c>
      <c r="C18" s="6">
        <f>ROUND(AVERAGE(B14),1)</f>
        <v/>
      </c>
    </row>
    <row r="19">
      <c r="B19" s="6" t="inlineStr">
        <is>
          <t>CO2</t>
        </is>
      </c>
      <c r="C19" s="6" t="inlineStr">
        <is>
          <t>-</t>
        </is>
      </c>
    </row>
    <row r="20">
      <c r="B20" s="6" t="inlineStr">
        <is>
          <t>CO3</t>
        </is>
      </c>
      <c r="C20" s="6" t="inlineStr">
        <is>
          <t>-</t>
        </is>
      </c>
    </row>
    <row r="21">
      <c r="B21" s="6" t="inlineStr">
        <is>
          <t>CO4</t>
        </is>
      </c>
      <c r="C21" s="6" t="inlineStr">
        <is>
          <t>-</t>
        </is>
      </c>
    </row>
    <row r="22">
      <c r="B22" s="6" t="inlineStr">
        <is>
          <t>CO5</t>
        </is>
      </c>
      <c r="C22" s="6" t="inlineStr">
        <is>
          <t>-</t>
        </is>
      </c>
    </row>
  </sheetData>
  <mergeCells count="4">
    <mergeCell ref="A4:B4"/>
    <mergeCell ref="A3:B3"/>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B1"/>
    </sheetView>
  </sheetViews>
  <sheetFormatPr baseColWidth="8" defaultColWidth="9" defaultRowHeight="14.4"/>
  <cols>
    <col width="42" customWidth="1" min="1" max="1"/>
    <col width="16" customWidth="1" min="2" max="2"/>
  </cols>
  <sheetData>
    <row r="1">
      <c r="A1" s="5" t="inlineStr">
        <is>
          <t>Type :NPTEL Course</t>
        </is>
      </c>
      <c r="B1" s="12" t="n"/>
    </row>
    <row r="2">
      <c r="A2" s="6" t="n"/>
      <c r="B2" s="12" t="n"/>
    </row>
    <row r="3">
      <c r="A3" s="5" t="inlineStr">
        <is>
          <t>CA Marksheet</t>
        </is>
      </c>
      <c r="B3" s="12" t="n"/>
    </row>
    <row r="4">
      <c r="A4" s="5" t="inlineStr">
        <is>
          <t>Maximum Marks = 10</t>
        </is>
      </c>
      <c r="B4" s="12" t="n"/>
    </row>
    <row r="5">
      <c r="A5" s="5" t="inlineStr">
        <is>
          <t>Roll No.</t>
        </is>
      </c>
      <c r="B5" s="5" t="inlineStr">
        <is>
          <t>CA1</t>
        </is>
      </c>
    </row>
    <row r="6">
      <c r="A6" s="6" t="n"/>
      <c r="B6" s="5" t="inlineStr">
        <is>
          <t>CO11</t>
        </is>
      </c>
    </row>
    <row r="7">
      <c r="A7" s="6" t="n">
        <v>1</v>
      </c>
      <c r="B7" s="6" t="n"/>
    </row>
    <row r="8">
      <c r="A8" s="7" t="inlineStr">
        <is>
          <t>Count(Attempted)</t>
        </is>
      </c>
      <c r="B8" s="6">
        <f>COUNT(B7:B7)</f>
        <v/>
      </c>
    </row>
    <row r="9">
      <c r="A9" s="7" t="inlineStr">
        <is>
          <t>Average Marks</t>
        </is>
      </c>
      <c r="B9" s="6">
        <f>ROUND(AVERAGE(B7:B7), 0)</f>
        <v/>
      </c>
    </row>
    <row r="10">
      <c r="A10" s="7" t="inlineStr">
        <is>
          <t>Count(&gt;=1%)</t>
        </is>
      </c>
      <c r="B10" s="6">
        <f>COUNTIF(B7:B7, "&gt;=0.1")</f>
        <v/>
      </c>
    </row>
    <row r="11">
      <c r="A11" s="7" t="inlineStr">
        <is>
          <t>% Count(&gt;=1% w.r.t appeared)</t>
        </is>
      </c>
      <c r="B11" s="6">
        <f>ROUND(B10 / B8 * 100, 1)</f>
        <v/>
      </c>
    </row>
    <row r="12">
      <c r="A12" s="7" t="inlineStr">
        <is>
          <t>Count(&gt;=Average Marks of class)</t>
        </is>
      </c>
      <c r="B12" s="6">
        <f>COUNTIF(B7:B7, "&gt;="&amp;B9)</f>
        <v/>
      </c>
    </row>
    <row r="13">
      <c r="A13" s="7" t="inlineStr">
        <is>
          <t>% Count(&gt;=Average Marks of class w.r.t appeared)</t>
        </is>
      </c>
      <c r="B13" s="6">
        <f>ROUND(B12 / B8 * 100, 1)</f>
        <v/>
      </c>
    </row>
    <row r="14">
      <c r="A14" s="9" t="inlineStr">
        <is>
          <t>AL(Based on &gt;=1% Count) (All COs)</t>
        </is>
      </c>
      <c r="B14" s="6">
        <f>IF(B11&lt;60, 1, IF(AND(B11&gt;59, B11&lt;70), 2, IF(AND(B11&gt;69, B11&lt;80), 3, 4)))</f>
        <v/>
      </c>
    </row>
    <row r="17">
      <c r="B17" s="5" t="inlineStr">
        <is>
          <t>COs</t>
        </is>
      </c>
      <c r="C17" s="5" t="inlineStr">
        <is>
          <t>AL</t>
        </is>
      </c>
    </row>
    <row r="18">
      <c r="B18" s="6" t="inlineStr">
        <is>
          <t>CO1</t>
        </is>
      </c>
      <c r="C18" s="6" t="inlineStr">
        <is>
          <t>-</t>
        </is>
      </c>
    </row>
    <row r="19">
      <c r="B19" s="6" t="inlineStr">
        <is>
          <t>CO2</t>
        </is>
      </c>
      <c r="C19" s="6" t="inlineStr">
        <is>
          <t>-</t>
        </is>
      </c>
    </row>
    <row r="20">
      <c r="B20" s="6" t="inlineStr">
        <is>
          <t>CO3</t>
        </is>
      </c>
      <c r="C20" s="6" t="inlineStr">
        <is>
          <t>-</t>
        </is>
      </c>
    </row>
    <row r="21">
      <c r="B21" s="6" t="inlineStr">
        <is>
          <t>CO4</t>
        </is>
      </c>
      <c r="C21" s="6" t="inlineStr">
        <is>
          <t>-</t>
        </is>
      </c>
    </row>
    <row r="22">
      <c r="B22" s="6" t="inlineStr">
        <is>
          <t>CO5</t>
        </is>
      </c>
      <c r="C22" s="6" t="inlineStr">
        <is>
          <t>-</t>
        </is>
      </c>
    </row>
  </sheetData>
  <mergeCells count="4">
    <mergeCell ref="A4:B4"/>
    <mergeCell ref="A3:B3"/>
    <mergeCell ref="A2:B2"/>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tabSelected="1" topLeftCell="B1" workbookViewId="0">
      <selection activeCell="E21" sqref="E21"/>
    </sheetView>
  </sheetViews>
  <sheetFormatPr baseColWidth="8" defaultColWidth="9" defaultRowHeight="14.4"/>
  <cols>
    <col width="40" customWidth="1" min="2" max="3"/>
    <col width="40" customWidth="1" min="6" max="6"/>
  </cols>
  <sheetData>
    <row r="1">
      <c r="A1" s="5" t="inlineStr">
        <is>
          <t>Sr. No.</t>
        </is>
      </c>
      <c r="B1" s="5" t="inlineStr">
        <is>
          <t>Email Address</t>
        </is>
      </c>
      <c r="C1" s="5" t="inlineStr">
        <is>
          <t>Full name of Student</t>
        </is>
      </c>
      <c r="D1" s="5" t="inlineStr">
        <is>
          <t>Roll No.</t>
        </is>
      </c>
      <c r="E1" s="5" t="inlineStr">
        <is>
          <t>Class</t>
        </is>
      </c>
      <c r="F1" s="5" t="inlineStr">
        <is>
          <t>Branch</t>
        </is>
      </c>
      <c r="G1" s="5" t="inlineStr">
        <is>
          <t>Q1</t>
        </is>
      </c>
      <c r="H1" s="5" t="inlineStr">
        <is>
          <t>Q2</t>
        </is>
      </c>
      <c r="I1" s="5" t="inlineStr">
        <is>
          <t>Q3</t>
        </is>
      </c>
      <c r="J1" s="5" t="inlineStr">
        <is>
          <t>Q4</t>
        </is>
      </c>
      <c r="K1" s="5" t="inlineStr">
        <is>
          <t>Q5</t>
        </is>
      </c>
    </row>
    <row r="2">
      <c r="A2" s="6" t="n">
        <v>1</v>
      </c>
      <c r="B2" s="6" t="n"/>
      <c r="C2" s="6" t="n"/>
      <c r="D2" s="6" t="n"/>
      <c r="E2" s="6" t="inlineStr">
        <is>
          <t>D5B</t>
        </is>
      </c>
      <c r="F2" s="6" t="inlineStr">
        <is>
          <t>Humanities and Applied Science(FE)</t>
        </is>
      </c>
      <c r="G2" s="6" t="n">
        <v>4</v>
      </c>
      <c r="H2" s="6" t="n">
        <v>5</v>
      </c>
      <c r="I2" s="6" t="n">
        <v>3</v>
      </c>
      <c r="J2" s="6" t="n">
        <v>4</v>
      </c>
      <c r="K2" s="6" t="n">
        <v>5</v>
      </c>
    </row>
    <row r="5">
      <c r="F5" s="9" t="inlineStr">
        <is>
          <t>Total</t>
        </is>
      </c>
      <c r="G5" s="6">
        <f>COUNT(G2:G2)</f>
        <v/>
      </c>
      <c r="H5" s="6">
        <f>COUNT(H2:H2)</f>
        <v/>
      </c>
      <c r="I5" s="6">
        <f>COUNT(I2:I2)</f>
        <v/>
      </c>
      <c r="J5" s="6">
        <f>COUNT(J2:J2)</f>
        <v/>
      </c>
      <c r="K5" s="6">
        <f>COUNT(K2:K2)</f>
        <v/>
      </c>
    </row>
    <row r="6">
      <c r="F6" s="9" t="inlineStr">
        <is>
          <t>SA + A Count</t>
        </is>
      </c>
      <c r="G6" s="6">
        <f>COUNTIF(G2:G2, "&gt;=4")</f>
        <v/>
      </c>
      <c r="H6" s="6">
        <f>COUNTIF(H2:H2, "&gt;=4")</f>
        <v/>
      </c>
      <c r="I6" s="6">
        <f>COUNTIF(I2:I2, "&gt;=4")</f>
        <v/>
      </c>
      <c r="J6" s="6">
        <f>COUNTIF(J2:J2, "&gt;=4")</f>
        <v/>
      </c>
      <c r="K6" s="6">
        <f>COUNTIF(K2:K2, "&gt;=4")</f>
        <v/>
      </c>
    </row>
    <row r="7">
      <c r="F7" s="9" t="inlineStr">
        <is>
          <t>SA + A Percentage</t>
        </is>
      </c>
      <c r="G7" s="6">
        <f>ROUND((G6/G5*100), 1)</f>
        <v/>
      </c>
      <c r="H7" s="6">
        <f>ROUND((H6/H5*100), 1)</f>
        <v/>
      </c>
      <c r="I7" s="6">
        <f>ROUND((I6/I5*100), 1)</f>
        <v/>
      </c>
      <c r="J7" s="6">
        <f>ROUND((J6/J5*100), 1)</f>
        <v/>
      </c>
      <c r="K7" s="6">
        <f>ROUND((K6/K5*100), 1)</f>
        <v/>
      </c>
    </row>
    <row r="8">
      <c r="F8" s="9" t="inlineStr">
        <is>
          <t>CO Mapped</t>
        </is>
      </c>
      <c r="G8" s="6" t="inlineStr">
        <is>
          <t>CO1</t>
        </is>
      </c>
      <c r="H8" s="6" t="inlineStr">
        <is>
          <t>CO2</t>
        </is>
      </c>
      <c r="I8" s="6" t="inlineStr">
        <is>
          <t>CO3</t>
        </is>
      </c>
      <c r="J8" s="6" t="inlineStr">
        <is>
          <t>CO4</t>
        </is>
      </c>
      <c r="K8" s="6" t="inlineStr">
        <is>
          <t>CO5</t>
        </is>
      </c>
    </row>
    <row r="9">
      <c r="F9" s="9" t="inlineStr">
        <is>
          <t>AL</t>
        </is>
      </c>
      <c r="G9" s="5">
        <f>IF(G7&lt;60,1,IF(AND(G7&gt;59,G7&lt;70),2,IF(AND(G7&gt;69,G7&lt;80),3,4)))</f>
        <v/>
      </c>
      <c r="H9" s="5">
        <f>IF(H7&lt;60,1,IF(AND(H7&gt;59,H7&lt;70),2,IF(AND(H7&gt;69,H7&lt;80),3,4)))</f>
        <v/>
      </c>
      <c r="I9" s="5">
        <f>IF(I7&lt;60,1,IF(AND(I7&gt;59,I7&lt;70),2,IF(AND(I7&gt;69,I7&lt;80),3,4)))</f>
        <v/>
      </c>
      <c r="J9" s="5">
        <f>IF(J7&lt;60,1,IF(AND(J7&gt;59,J7&lt;70),2,IF(AND(J7&gt;69,J7&lt;80),3,4)))</f>
        <v/>
      </c>
      <c r="K9" s="5">
        <f>IF(K7&lt;60,1,IF(AND(K7&gt;59,K7&lt;70),2,IF(AND(K7&gt;69,K7&lt;80),3,4)))</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
  <sheetViews>
    <sheetView workbookViewId="0">
      <selection activeCell="A1" sqref="A1:H1"/>
    </sheetView>
  </sheetViews>
  <sheetFormatPr baseColWidth="8" defaultColWidth="9" defaultRowHeight="14.4"/>
  <cols>
    <col width="16" customWidth="1" min="1" max="1"/>
    <col width="25" customWidth="1" min="2" max="5"/>
    <col width="34" customWidth="1" min="6" max="6"/>
    <col width="25" customWidth="1" min="7" max="7"/>
  </cols>
  <sheetData>
    <row r="1">
      <c r="A1" s="1" t="inlineStr">
        <is>
          <t>Vivekanand Education Society's Institute of Technology</t>
        </is>
      </c>
    </row>
    <row r="2">
      <c r="A2" s="1" t="inlineStr">
        <is>
          <t>Department of Humanities and Applied Science(FE)</t>
        </is>
      </c>
    </row>
    <row r="3">
      <c r="A3" s="1" t="inlineStr">
        <is>
          <t>Academic Year :2024-2025</t>
        </is>
      </c>
    </row>
    <row r="4">
      <c r="A4" s="2" t="n"/>
    </row>
    <row r="5">
      <c r="A5" s="3" t="inlineStr">
        <is>
          <t xml:space="preserve">  Subject : Universal Human Values - 1                                                                                                                                                                       Class : D5B</t>
        </is>
      </c>
    </row>
    <row r="6">
      <c r="A6" s="3" t="inlineStr">
        <is>
          <t xml:space="preserve">  Subject Teacher :s                                                                                                                                                                Semester : I</t>
        </is>
      </c>
    </row>
    <row r="7">
      <c r="A7" s="2" t="n"/>
    </row>
    <row r="8">
      <c r="A8" s="3" t="inlineStr">
        <is>
          <t>Course Outcomes(COs): Upon successful completion of this course, students will be able to:</t>
        </is>
      </c>
    </row>
    <row r="9">
      <c r="A9" s="6" t="inlineStr">
        <is>
          <t>CO1</t>
        </is>
      </c>
      <c r="B9" s="7" t="inlineStr">
        <is>
          <t>l</t>
        </is>
      </c>
      <c r="C9" s="11" t="n"/>
      <c r="D9" s="11" t="n"/>
      <c r="E9" s="11" t="n"/>
      <c r="F9" s="11" t="n"/>
      <c r="G9" s="11" t="n"/>
      <c r="H9" s="12" t="n"/>
    </row>
    <row r="10">
      <c r="A10" s="6" t="inlineStr">
        <is>
          <t>CO2</t>
        </is>
      </c>
      <c r="B10" s="7" t="inlineStr">
        <is>
          <t>l</t>
        </is>
      </c>
      <c r="C10" s="11" t="n"/>
      <c r="D10" s="11" t="n"/>
      <c r="E10" s="11" t="n"/>
      <c r="F10" s="11" t="n"/>
      <c r="G10" s="11" t="n"/>
      <c r="H10" s="12" t="n"/>
    </row>
    <row r="11">
      <c r="A11" s="6" t="inlineStr">
        <is>
          <t>CO3</t>
        </is>
      </c>
      <c r="B11" s="7" t="inlineStr">
        <is>
          <t>l</t>
        </is>
      </c>
      <c r="C11" s="11" t="n"/>
      <c r="D11" s="11" t="n"/>
      <c r="E11" s="11" t="n"/>
      <c r="F11" s="11" t="n"/>
      <c r="G11" s="11" t="n"/>
      <c r="H11" s="12" t="n"/>
    </row>
    <row r="12">
      <c r="A12" s="6" t="inlineStr">
        <is>
          <t>CO4</t>
        </is>
      </c>
      <c r="B12" s="7" t="inlineStr">
        <is>
          <t>l</t>
        </is>
      </c>
      <c r="C12" s="11" t="n"/>
      <c r="D12" s="11" t="n"/>
      <c r="E12" s="11" t="n"/>
      <c r="F12" s="11" t="n"/>
      <c r="G12" s="11" t="n"/>
      <c r="H12" s="12" t="n"/>
    </row>
    <row r="13">
      <c r="A13" s="6" t="inlineStr">
        <is>
          <t>CO5</t>
        </is>
      </c>
      <c r="B13" s="7" t="inlineStr">
        <is>
          <t>l</t>
        </is>
      </c>
      <c r="C13" s="11" t="n"/>
      <c r="D13" s="11" t="n"/>
      <c r="E13" s="11" t="n"/>
      <c r="F13" s="11" t="n"/>
      <c r="G13" s="11" t="n"/>
      <c r="H13" s="12" t="n"/>
    </row>
    <row r="14"/>
    <row r="15"/>
    <row r="16">
      <c r="A16" s="1" t="inlineStr">
        <is>
          <t>CO Rubrics Mapping</t>
        </is>
      </c>
    </row>
    <row r="17">
      <c r="A17" s="2" t="n"/>
    </row>
    <row r="18">
      <c r="A18" s="5" t="inlineStr">
        <is>
          <t>Assessment</t>
        </is>
      </c>
      <c r="B18" s="5" t="inlineStr">
        <is>
          <t>Direct Assessment</t>
        </is>
      </c>
      <c r="C18" s="11" t="n"/>
      <c r="D18" s="11" t="n"/>
      <c r="E18" s="12" t="n"/>
      <c r="F18" s="5" t="inlineStr">
        <is>
          <t>Indirect Assessment</t>
        </is>
      </c>
      <c r="G18" s="2" t="n"/>
      <c r="H18" s="2" t="n"/>
    </row>
    <row r="19">
      <c r="A19" s="13" t="n"/>
      <c r="B19" s="5" t="inlineStr">
        <is>
          <t>Internal Assessment</t>
        </is>
      </c>
      <c r="C19" s="11" t="n"/>
      <c r="D19" s="12" t="n"/>
      <c r="E19" s="5" t="inlineStr">
        <is>
          <t>External Assessment</t>
        </is>
      </c>
      <c r="F19" s="13" t="n"/>
      <c r="G19" s="2" t="n"/>
      <c r="H19" s="2" t="n"/>
    </row>
    <row r="20">
      <c r="A20" s="5" t="inlineStr">
        <is>
          <t>CO's</t>
        </is>
      </c>
      <c r="B20" s="5" t="inlineStr">
        <is>
          <t>Mid Term Test</t>
        </is>
      </c>
      <c r="C20" s="5" t="inlineStr">
        <is>
          <t>CA1</t>
        </is>
      </c>
      <c r="D20" s="5" t="inlineStr">
        <is>
          <t>CA2</t>
        </is>
      </c>
      <c r="E20" s="5" t="inlineStr">
        <is>
          <t>ESE(TH)</t>
        </is>
      </c>
      <c r="F20" s="5" t="inlineStr">
        <is>
          <t>Course Exit Survey</t>
        </is>
      </c>
      <c r="G20" s="2" t="n"/>
      <c r="H20" s="2" t="n"/>
    </row>
    <row r="21">
      <c r="A21" s="6" t="inlineStr">
        <is>
          <t>CO1</t>
        </is>
      </c>
      <c r="B21" s="6">
        <f>IF(Midsem!G21="-"," ","✓")</f>
        <v/>
      </c>
      <c r="C21" s="6">
        <f>IF(CA1!C18="-"," ","✓")</f>
        <v/>
      </c>
      <c r="D21" s="6">
        <f>IF(CA2!C18="-"," ","✓")</f>
        <v/>
      </c>
      <c r="E21" s="6">
        <f>IF(Endsem!B15="-"," ","✓")</f>
        <v/>
      </c>
      <c r="F21" s="6">
        <f>IF(Survey!G9="-"," ","✓")</f>
        <v/>
      </c>
    </row>
    <row r="22">
      <c r="A22" s="6" t="inlineStr">
        <is>
          <t>CO2</t>
        </is>
      </c>
      <c r="B22" s="6">
        <f>IF(Midsem!G22="-"," ","✓")</f>
        <v/>
      </c>
      <c r="C22" s="6">
        <f>IF(CA1!C19="-"," ","✓")</f>
        <v/>
      </c>
      <c r="D22" s="6">
        <f>IF(CA2!C19="-"," ","✓")</f>
        <v/>
      </c>
      <c r="E22" s="6">
        <f>IF(Endsem!B16="-"," ","✓")</f>
        <v/>
      </c>
      <c r="F22" s="6">
        <f>IF(Survey!H9="-"," ","✓")</f>
        <v/>
      </c>
    </row>
    <row r="23">
      <c r="A23" s="6" t="inlineStr">
        <is>
          <t>CO3</t>
        </is>
      </c>
      <c r="B23" s="6">
        <f>IF(Midsem!G23="-"," ","✓")</f>
        <v/>
      </c>
      <c r="C23" s="6">
        <f>IF(CA1!C20="-"," ","✓")</f>
        <v/>
      </c>
      <c r="D23" s="6">
        <f>IF(CA2!C20="-"," ","✓")</f>
        <v/>
      </c>
      <c r="E23" s="6">
        <f>IF(Endsem!B17="-"," ","✓")</f>
        <v/>
      </c>
      <c r="F23" s="6">
        <f>IF(Survey!I9="-"," ","✓")</f>
        <v/>
      </c>
    </row>
    <row r="24">
      <c r="A24" s="6" t="inlineStr">
        <is>
          <t>CO4</t>
        </is>
      </c>
      <c r="B24" s="6">
        <f>IF(Midsem!G24="-"," ","✓")</f>
        <v/>
      </c>
      <c r="C24" s="6">
        <f>IF(CA1!C21="-"," ","✓")</f>
        <v/>
      </c>
      <c r="D24" s="6">
        <f>IF(CA2!C21="-"," ","✓")</f>
        <v/>
      </c>
      <c r="E24" s="6">
        <f>IF(Endsem!B18="-"," ","✓")</f>
        <v/>
      </c>
      <c r="F24" s="6">
        <f>IF(Survey!J9="-"," ","✓")</f>
        <v/>
      </c>
    </row>
    <row r="25">
      <c r="A25" s="6" t="inlineStr">
        <is>
          <t>CO5</t>
        </is>
      </c>
      <c r="B25" s="6">
        <f>IF(Midsem!G25="-"," ","✓")</f>
        <v/>
      </c>
      <c r="C25" s="6">
        <f>IF(CA1!C22="-"," ","✓")</f>
        <v/>
      </c>
      <c r="D25" s="6">
        <f>IF(CA2!C22="-"," ","✓")</f>
        <v/>
      </c>
      <c r="E25" s="6">
        <f>IF(Endsem!B19="-"," ","✓")</f>
        <v/>
      </c>
      <c r="F25" s="6">
        <f>IF(Survey!K9="-"," ","✓")</f>
        <v/>
      </c>
    </row>
    <row r="26">
      <c r="A26" s="6" t="n"/>
      <c r="B26" s="6" t="n"/>
      <c r="C26" s="6" t="n"/>
      <c r="D26" s="6" t="n"/>
      <c r="E26" s="6" t="n"/>
      <c r="F26" s="6" t="n"/>
    </row>
    <row r="27"/>
    <row r="28">
      <c r="A28" s="1" t="inlineStr">
        <is>
          <t>CO Attainment (Level)</t>
        </is>
      </c>
    </row>
    <row r="29">
      <c r="A29" s="2" t="n"/>
    </row>
    <row r="30">
      <c r="A30" s="5" t="inlineStr">
        <is>
          <t>Assessment</t>
        </is>
      </c>
      <c r="B30" s="5" t="inlineStr">
        <is>
          <t>Direct Assessment</t>
        </is>
      </c>
      <c r="C30" s="11" t="n"/>
      <c r="D30" s="11" t="n"/>
      <c r="E30" s="11" t="n"/>
      <c r="F30" s="12" t="n"/>
      <c r="G30" s="5" t="inlineStr">
        <is>
          <t>Indirect Assessment</t>
        </is>
      </c>
      <c r="H30" s="2" t="n"/>
    </row>
    <row r="31">
      <c r="A31" s="13" t="n"/>
      <c r="B31" s="5" t="inlineStr">
        <is>
          <t>Internal Assessment</t>
        </is>
      </c>
      <c r="C31" s="11" t="n"/>
      <c r="D31" s="12" t="n"/>
      <c r="E31" s="5" t="inlineStr">
        <is>
          <t>External Assessment</t>
        </is>
      </c>
      <c r="F31" s="5" t="inlineStr">
        <is>
          <t>Attainment Level</t>
        </is>
      </c>
      <c r="G31" s="13" t="n"/>
      <c r="H31" s="2" t="n"/>
    </row>
    <row r="32">
      <c r="A32" s="5" t="inlineStr">
        <is>
          <t>CO's</t>
        </is>
      </c>
      <c r="B32" s="5" t="inlineStr">
        <is>
          <t>Mid Term Test</t>
        </is>
      </c>
      <c r="C32" s="5" t="inlineStr">
        <is>
          <t>CA1</t>
        </is>
      </c>
      <c r="D32" s="5" t="inlineStr">
        <is>
          <t>CA2</t>
        </is>
      </c>
      <c r="E32" s="5" t="inlineStr">
        <is>
          <t>ESE(TH)</t>
        </is>
      </c>
      <c r="F32" s="5" t="inlineStr">
        <is>
          <t>70% (External) + 30% (Internal)</t>
        </is>
      </c>
      <c r="G32" s="5" t="inlineStr">
        <is>
          <t>Course Exit Survey</t>
        </is>
      </c>
      <c r="H32" s="2" t="n"/>
    </row>
    <row r="33">
      <c r="A33" s="6" t="inlineStr">
        <is>
          <t>CO1</t>
        </is>
      </c>
      <c r="B33" s="6">
        <f>Midsem!G21</f>
        <v/>
      </c>
      <c r="C33" s="6">
        <f>CA1!C18</f>
        <v/>
      </c>
      <c r="D33" s="6">
        <f>CA2!C18</f>
        <v/>
      </c>
      <c r="E33" s="6">
        <f>Endsem!B15</f>
        <v/>
      </c>
      <c r="F33" s="6">
        <f>IF(AND(E33="-", COUNTIF(B33:D33, "-")=3), "-", IF(E33="-", ROUND(0.3*AVERAGE(B33,C33,D33), 1), IF(COUNTIF(B33:D33, "-")=3, ROUND(0.7*E33, 1), ROUND(0.7*E33+0.3*(AVERAGE(B33,C33,D33)),1))))</f>
        <v/>
      </c>
      <c r="G33" s="6">
        <f>Survey!G9</f>
        <v/>
      </c>
    </row>
    <row r="34">
      <c r="A34" s="6" t="inlineStr">
        <is>
          <t>CO2</t>
        </is>
      </c>
      <c r="B34" s="6">
        <f>Midsem!G22</f>
        <v/>
      </c>
      <c r="C34" s="6">
        <f>CA1!C19</f>
        <v/>
      </c>
      <c r="D34" s="6">
        <f>CA2!C19</f>
        <v/>
      </c>
      <c r="E34" s="6">
        <f>Endsem!B16</f>
        <v/>
      </c>
      <c r="F34" s="6">
        <f>IF(AND(E34="-", COUNTIF(B34:D34, "-")=3), "-", IF(E34="-", ROUND(0.3*AVERAGE(B34,C34,D34), 1), IF(COUNTIF(B34:D34, "-")=3, ROUND(0.7*E34, 1), ROUND(0.7*E34+0.3*(AVERAGE(B34,C34,D34)),1))))</f>
        <v/>
      </c>
      <c r="G34" s="6">
        <f>Survey!H9</f>
        <v/>
      </c>
    </row>
    <row r="35">
      <c r="A35" s="6" t="inlineStr">
        <is>
          <t>CO3</t>
        </is>
      </c>
      <c r="B35" s="6">
        <f>Midsem!G23</f>
        <v/>
      </c>
      <c r="C35" s="6">
        <f>CA1!C20</f>
        <v/>
      </c>
      <c r="D35" s="6">
        <f>CA2!C20</f>
        <v/>
      </c>
      <c r="E35" s="6">
        <f>Endsem!B17</f>
        <v/>
      </c>
      <c r="F35" s="6">
        <f>IF(AND(E35="-", COUNTIF(B35:D35, "-")=3), "-", IF(E35="-", ROUND(0.3*AVERAGE(B35,C35,D35), 1), IF(COUNTIF(B35:D35, "-")=3, ROUND(0.7*E35, 1), ROUND(0.7*E35+0.3*(AVERAGE(B35,C35,D35)),1))))</f>
        <v/>
      </c>
      <c r="G35" s="6">
        <f>Survey!I9</f>
        <v/>
      </c>
    </row>
    <row r="36">
      <c r="A36" s="6" t="inlineStr">
        <is>
          <t>CO4</t>
        </is>
      </c>
      <c r="B36" s="6">
        <f>Midsem!G24</f>
        <v/>
      </c>
      <c r="C36" s="6">
        <f>CA1!C21</f>
        <v/>
      </c>
      <c r="D36" s="6">
        <f>CA2!C21</f>
        <v/>
      </c>
      <c r="E36" s="6">
        <f>Endsem!B18</f>
        <v/>
      </c>
      <c r="F36" s="6">
        <f>IF(AND(E36="-", COUNTIF(B36:D36, "-")=3), "-", IF(E36="-", ROUND(0.3*AVERAGE(B36,C36,D36), 1), IF(COUNTIF(B36:D36, "-")=3, ROUND(0.7*E36, 1), ROUND(0.7*E36+0.3*(AVERAGE(B36,C36,D36)),1))))</f>
        <v/>
      </c>
      <c r="G36" s="6">
        <f>Survey!J9</f>
        <v/>
      </c>
    </row>
    <row r="37">
      <c r="A37" s="6" t="inlineStr">
        <is>
          <t>CO5</t>
        </is>
      </c>
      <c r="B37" s="6">
        <f>Midsem!G25</f>
        <v/>
      </c>
      <c r="C37" s="6">
        <f>CA1!C22</f>
        <v/>
      </c>
      <c r="D37" s="6">
        <f>CA2!C22</f>
        <v/>
      </c>
      <c r="E37" s="6">
        <f>Endsem!B19</f>
        <v/>
      </c>
      <c r="F37" s="6">
        <f>IF(AND(E37="-", COUNTIF(B37:D37, "-")=3), "-", IF(E37="-", ROUND(0.3*AVERAGE(B37,C37,D37), 1), IF(COUNTIF(B37:D37, "-")=3, ROUND(0.7*E37, 1), ROUND(0.7*E37+0.3*(AVERAGE(B37,C37,D37)),1))))</f>
        <v/>
      </c>
      <c r="G37" s="6">
        <f>Survey!K9</f>
        <v/>
      </c>
    </row>
    <row r="39"/>
    <row r="40">
      <c r="A40" s="1" t="inlineStr">
        <is>
          <t>Final CO Attainment</t>
        </is>
      </c>
    </row>
    <row r="41"/>
    <row r="42">
      <c r="C42" s="5" t="inlineStr">
        <is>
          <t>Course Outcomes</t>
        </is>
      </c>
      <c r="D42" s="5" t="inlineStr">
        <is>
          <t>Direct AL</t>
        </is>
      </c>
      <c r="E42" s="5" t="inlineStr">
        <is>
          <t>Indirect AL</t>
        </is>
      </c>
    </row>
    <row r="43">
      <c r="C43" s="5" t="inlineStr">
        <is>
          <t>CO1</t>
        </is>
      </c>
      <c r="D43" s="6">
        <f>IF(AND(E33="-", COUNTIF(B33:D33, "-")=3), "-", IF(E33="-", ROUND(0.3*AVERAGE(B33,C33,D33), 1), IF(COUNTIF(B33:D33, "-")=3, ROUND(0.7*E33, 1), ROUND(0.7*E33+0.3*(AVERAGE(B33,C33,D33)),1))))</f>
        <v/>
      </c>
      <c r="E43" s="6">
        <f>Survey!G9</f>
        <v/>
      </c>
    </row>
    <row r="44">
      <c r="C44" s="5" t="inlineStr">
        <is>
          <t>CO2</t>
        </is>
      </c>
      <c r="D44" s="6">
        <f>IF(AND(E34="-", COUNTIF(B34:D34, "-")=3), "-", IF(E34="-", ROUND(0.3*AVERAGE(B34,C34,D34), 1), IF(COUNTIF(B34:D34, "-")=3, ROUND(0.7*E34, 1), ROUND(0.7*E34+0.3*(AVERAGE(B34,C34,D34)),1))))</f>
        <v/>
      </c>
      <c r="E44" s="6">
        <f>Survey!H9</f>
        <v/>
      </c>
    </row>
    <row r="45">
      <c r="C45" s="5" t="inlineStr">
        <is>
          <t>CO3</t>
        </is>
      </c>
      <c r="D45" s="6">
        <f>IF(AND(E35="-", COUNTIF(B35:D35, "-")=3), "-", IF(E35="-", ROUND(0.3*AVERAGE(B35,C35,D35), 1), IF(COUNTIF(B35:D35, "-")=3, ROUND(0.7*E35, 1), ROUND(0.7*E35+0.3*(AVERAGE(B35,C35,D35)),1))))</f>
        <v/>
      </c>
      <c r="E45" s="6">
        <f>Survey!I9</f>
        <v/>
      </c>
    </row>
    <row r="46">
      <c r="C46" s="5" t="inlineStr">
        <is>
          <t>CO4</t>
        </is>
      </c>
      <c r="D46" s="6">
        <f>IF(AND(E36="-", COUNTIF(B36:D36, "-")=3), "-", IF(E36="-", ROUND(0.3*AVERAGE(B36,C36,D36), 1), IF(COUNTIF(B36:D36, "-")=3, ROUND(0.7*E36, 1), ROUND(0.7*E36+0.3*(AVERAGE(B36,C36,D36)),1))))</f>
        <v/>
      </c>
      <c r="E46" s="6">
        <f>Survey!J9</f>
        <v/>
      </c>
    </row>
    <row r="47">
      <c r="C47" s="5" t="inlineStr">
        <is>
          <t>CO5</t>
        </is>
      </c>
      <c r="D47" s="6">
        <f>IF(AND(E37="-", COUNTIF(B37:D37, "-")=3), "-", IF(E37="-", ROUND(0.3*AVERAGE(B37,C37,D37), 1), IF(COUNTIF(B37:D37, "-")=3, ROUND(0.7*E37, 1), ROUND(0.7*E37+0.3*(AVERAGE(B37,C37,D37)),1))))</f>
        <v/>
      </c>
      <c r="E47" s="6">
        <f>Survey!K9</f>
        <v/>
      </c>
    </row>
  </sheetData>
  <mergeCells count="31">
    <mergeCell ref="A39:H39"/>
    <mergeCell ref="A15:H15"/>
    <mergeCell ref="B9:H9"/>
    <mergeCell ref="A1:H1"/>
    <mergeCell ref="A6:H6"/>
    <mergeCell ref="F18:F19"/>
    <mergeCell ref="B19:D19"/>
    <mergeCell ref="A7:H7"/>
    <mergeCell ref="A16:H16"/>
    <mergeCell ref="A41:H41"/>
    <mergeCell ref="A18:A19"/>
    <mergeCell ref="A27:H27"/>
    <mergeCell ref="A3:H3"/>
    <mergeCell ref="B18:E18"/>
    <mergeCell ref="G30:G31"/>
    <mergeCell ref="A2:H2"/>
    <mergeCell ref="B12:H12"/>
    <mergeCell ref="A5:H5"/>
    <mergeCell ref="B11:H11"/>
    <mergeCell ref="A8:H8"/>
    <mergeCell ref="A17:H17"/>
    <mergeCell ref="B30:F30"/>
    <mergeCell ref="A4:H4"/>
    <mergeCell ref="B14:H14"/>
    <mergeCell ref="A29:H29"/>
    <mergeCell ref="B13:H13"/>
    <mergeCell ref="B31:D31"/>
    <mergeCell ref="A28:H28"/>
    <mergeCell ref="B10:H10"/>
    <mergeCell ref="A30:A31"/>
    <mergeCell ref="A40:H4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0"/>
  <sheetViews>
    <sheetView workbookViewId="0">
      <selection activeCell="A1" sqref="A1:O1"/>
    </sheetView>
  </sheetViews>
  <sheetFormatPr baseColWidth="8" defaultColWidth="9" defaultRowHeight="14.4"/>
  <sheetData>
    <row r="1">
      <c r="A1" s="1" t="inlineStr">
        <is>
          <t>Vivekanand Education Society's Institute of Technology</t>
        </is>
      </c>
    </row>
    <row r="2">
      <c r="A2" s="1" t="inlineStr">
        <is>
          <t>Department of Humanities and Applied Science(FE)</t>
        </is>
      </c>
    </row>
    <row r="3">
      <c r="A3" s="1" t="inlineStr">
        <is>
          <t>Academic Year :2024-2025</t>
        </is>
      </c>
    </row>
    <row r="4">
      <c r="A4" s="2" t="n"/>
    </row>
    <row r="5">
      <c r="A5" s="3" t="inlineStr">
        <is>
          <t xml:space="preserve">  Subject : Universal Human Values - 1                                                                                                                                                                       Class : D5B</t>
        </is>
      </c>
    </row>
    <row r="6">
      <c r="A6" s="3" t="inlineStr">
        <is>
          <t xml:space="preserve">  Subject Teacher :s                                                                                                                                                                Semester : I</t>
        </is>
      </c>
    </row>
    <row r="7">
      <c r="A7" s="2" t="n"/>
    </row>
    <row r="8">
      <c r="A8" s="2" t="n"/>
    </row>
    <row r="9">
      <c r="A9" s="3" t="inlineStr">
        <is>
          <t>Programme Outcomes(POs):</t>
        </is>
      </c>
    </row>
    <row r="10">
      <c r="A10" t="inlineStr">
        <is>
          <t>PO1) Basic Engineering knowledge: An ability to apply the fundamental knowledge in mathematics, science and engineering to solve problems in Computer engineering.
    PO2) Problem Analysis: Identify, formulate, research literature and analyze computer engineering problems reaching substantiated conclusions using first principles of mathematics, natural sciences and computer engineering and sciences.
    PO3) Design/ Development of Solutions: Design solutions for complex computer engineering problems and design system components or processes that meet specified needs with appropriate consideration for public health and safety, cultural, societal and environmental considerations.
    PO4) Conduct investigations of complex engineering problems using research-based knowledge and research methods including design of experiments, analysis and interpretation of data and synthesis of information to provide valid conclusions
    PO5) Modern Tool Usage: Create, select and apply appropriate techniques, resources and modern computer engineering and IT tools including prediction and modeling to complex engineering activities with an understanding of the limitations. 
    PO6) The Engineer and Society: Apply reasoning informed by contextual knowledge to assess societal, health, safety, legal and cultural issues and the consequent responsibilities relevant to computer engineering practice.
    PO7) Environment and Sustainability: Understand the impact of professional computer engineering solutions in societal and environmental contexts and demonstrate knowledge of and need for sustainable development. 
    PO8) Ethics: Apply ethical principles and commit to professional ethics and responsibilities and norms of computer engineering practice.
    PO9) Individual and Team Work: Function effectively as an individual, and as a member or leader in diverse teams and in multidisciplinary settings. 
    PO10)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PO11) Project Management and Finance: Demonstrate knowledge and understanding of computer engineering and management principles and apply these to one's own work, as a member and leader in a team, to manage projects and in multidisciplinary environments.
    PO12) Life-long Learning: Recognize the need for and have the preparation and ability to engage in independent and lifelong learning in the broadest context of technological change.
    PSO1) Professional Skills - The ability to develop programs for computer based systems of varying complexity and domains using standard practices.
    PSO2) Successful Career - The ability to adopt skills, languages, environment and platforms for creating innovative carrier paths, being successful entrepreneurs or for pursuing higher studies.</t>
        </is>
      </c>
    </row>
    <row r="12">
      <c r="A12" s="1" t="inlineStr">
        <is>
          <t>CO - PO/PSO Mapping</t>
        </is>
      </c>
    </row>
    <row r="14">
      <c r="A14" s="4" t="inlineStr">
        <is>
          <t>Course Outcomes</t>
        </is>
      </c>
      <c r="B14" s="5" t="inlineStr">
        <is>
          <t>Programme Outcomes</t>
        </is>
      </c>
      <c r="C14" s="11" t="n"/>
      <c r="D14" s="11" t="n"/>
      <c r="E14" s="11" t="n"/>
      <c r="F14" s="11" t="n"/>
      <c r="G14" s="11" t="n"/>
      <c r="H14" s="11" t="n"/>
      <c r="I14" s="11" t="n"/>
      <c r="J14" s="11" t="n"/>
      <c r="K14" s="11" t="n"/>
      <c r="L14" s="11" t="n"/>
      <c r="M14" s="12" t="n"/>
      <c r="N14" s="5" t="inlineStr">
        <is>
          <t>PSOs</t>
        </is>
      </c>
      <c r="O14" s="12" t="n"/>
    </row>
    <row r="15">
      <c r="A15" s="13" t="n"/>
      <c r="B15" s="5" t="inlineStr">
        <is>
          <t>PO1</t>
        </is>
      </c>
      <c r="C15" s="5" t="inlineStr">
        <is>
          <t>PO2</t>
        </is>
      </c>
      <c r="D15" s="5" t="inlineStr">
        <is>
          <t>PO3</t>
        </is>
      </c>
      <c r="E15" s="5" t="inlineStr">
        <is>
          <t>PO4</t>
        </is>
      </c>
      <c r="F15" s="5" t="inlineStr">
        <is>
          <t>PO5</t>
        </is>
      </c>
      <c r="G15" s="5" t="inlineStr">
        <is>
          <t>PO6</t>
        </is>
      </c>
      <c r="H15" s="5" t="inlineStr">
        <is>
          <t>PO7</t>
        </is>
      </c>
      <c r="I15" s="5" t="inlineStr">
        <is>
          <t>PO8</t>
        </is>
      </c>
      <c r="J15" s="5" t="inlineStr">
        <is>
          <t>PO9</t>
        </is>
      </c>
      <c r="K15" s="5" t="inlineStr">
        <is>
          <t>PO10</t>
        </is>
      </c>
      <c r="L15" s="5" t="inlineStr">
        <is>
          <t>PO11</t>
        </is>
      </c>
      <c r="M15" s="5" t="inlineStr">
        <is>
          <t>PO12</t>
        </is>
      </c>
      <c r="N15" s="5" t="inlineStr">
        <is>
          <t>PSO1</t>
        </is>
      </c>
      <c r="O15" s="5" t="inlineStr">
        <is>
          <t>PSO2</t>
        </is>
      </c>
    </row>
    <row r="16">
      <c r="A16" s="5" t="inlineStr">
        <is>
          <t>CO1</t>
        </is>
      </c>
      <c r="B16" s="6" t="n"/>
      <c r="C16" s="6" t="n"/>
      <c r="D16" s="6" t="n"/>
      <c r="E16" s="6" t="n"/>
      <c r="F16" s="6" t="n"/>
      <c r="G16" s="6" t="n"/>
      <c r="H16" s="6" t="n"/>
      <c r="I16" s="6" t="n"/>
      <c r="J16" s="6" t="n"/>
      <c r="K16" s="6" t="n"/>
      <c r="L16" s="6" t="n"/>
      <c r="M16" s="6" t="n"/>
      <c r="N16" s="6" t="n"/>
      <c r="O16" s="6" t="n"/>
    </row>
    <row r="17">
      <c r="A17" s="5" t="inlineStr">
        <is>
          <t>CO2</t>
        </is>
      </c>
      <c r="B17" s="6" t="n"/>
      <c r="C17" s="6" t="n"/>
      <c r="D17" s="6" t="n"/>
      <c r="E17" s="6" t="n"/>
      <c r="F17" s="6" t="n"/>
      <c r="G17" s="6" t="n"/>
      <c r="H17" s="6" t="n"/>
      <c r="I17" s="6" t="n"/>
      <c r="J17" s="6" t="n"/>
      <c r="K17" s="6" t="n"/>
      <c r="L17" s="6" t="n"/>
      <c r="M17" s="6" t="n"/>
      <c r="N17" s="6" t="n"/>
      <c r="O17" s="6" t="n"/>
    </row>
    <row r="18">
      <c r="A18" s="5" t="inlineStr">
        <is>
          <t>CO3</t>
        </is>
      </c>
      <c r="B18" s="6" t="n"/>
      <c r="C18" s="6" t="n"/>
      <c r="D18" s="6" t="n"/>
      <c r="E18" s="6" t="n"/>
      <c r="F18" s="6" t="n"/>
      <c r="G18" s="6" t="n"/>
      <c r="H18" s="6" t="n"/>
      <c r="I18" s="6" t="n"/>
      <c r="J18" s="6" t="n"/>
      <c r="K18" s="6" t="n"/>
      <c r="L18" s="6" t="n"/>
      <c r="M18" s="6" t="n"/>
      <c r="N18" s="6" t="n"/>
      <c r="O18" s="6" t="n"/>
    </row>
    <row r="19">
      <c r="A19" s="5" t="inlineStr">
        <is>
          <t>CO4</t>
        </is>
      </c>
      <c r="B19" s="6" t="n"/>
      <c r="C19" s="6" t="n"/>
      <c r="D19" s="6" t="n"/>
      <c r="E19" s="6" t="n"/>
      <c r="F19" s="6" t="n"/>
      <c r="G19" s="6" t="n"/>
      <c r="H19" s="6" t="n"/>
      <c r="I19" s="6" t="n"/>
      <c r="J19" s="6" t="n"/>
      <c r="K19" s="6" t="n"/>
      <c r="L19" s="6" t="n"/>
      <c r="M19" s="6" t="n"/>
      <c r="N19" s="6" t="n"/>
      <c r="O19" s="6" t="n"/>
    </row>
    <row r="20">
      <c r="A20" s="5" t="inlineStr">
        <is>
          <t>CO5</t>
        </is>
      </c>
      <c r="B20" s="6" t="n"/>
      <c r="C20" s="6" t="n"/>
      <c r="D20" s="6" t="n"/>
      <c r="E20" s="6" t="n"/>
      <c r="F20" s="6" t="n"/>
      <c r="G20" s="6" t="n"/>
      <c r="H20" s="6" t="n"/>
      <c r="I20" s="6" t="n"/>
      <c r="J20" s="6" t="n"/>
      <c r="K20" s="6" t="n"/>
      <c r="L20" s="6" t="n"/>
      <c r="M20" s="6" t="n"/>
      <c r="N20" s="6" t="n"/>
      <c r="O20" s="6" t="n"/>
    </row>
    <row r="23">
      <c r="A23" s="1" t="inlineStr">
        <is>
          <t>Direct PO Attainment</t>
        </is>
      </c>
    </row>
    <row r="25">
      <c r="A25" s="4" t="inlineStr">
        <is>
          <t>Course Outcomes(COs)</t>
        </is>
      </c>
      <c r="B25" s="5" t="inlineStr">
        <is>
          <t>Programme Outcomes(POs)</t>
        </is>
      </c>
      <c r="C25" s="11" t="n"/>
      <c r="D25" s="11" t="n"/>
      <c r="E25" s="11" t="n"/>
      <c r="F25" s="11" t="n"/>
      <c r="G25" s="11" t="n"/>
      <c r="H25" s="11" t="n"/>
      <c r="I25" s="11" t="n"/>
      <c r="J25" s="11" t="n"/>
      <c r="K25" s="11" t="n"/>
      <c r="L25" s="11" t="n"/>
      <c r="M25" s="12" t="n"/>
      <c r="N25" s="5" t="inlineStr">
        <is>
          <t>PSOs</t>
        </is>
      </c>
      <c r="O25" s="12" t="n"/>
    </row>
    <row r="26">
      <c r="A26" s="13" t="n"/>
      <c r="B26" s="5" t="inlineStr">
        <is>
          <t>PO1</t>
        </is>
      </c>
      <c r="C26" s="5" t="inlineStr">
        <is>
          <t>PO2</t>
        </is>
      </c>
      <c r="D26" s="5" t="inlineStr">
        <is>
          <t>PO3</t>
        </is>
      </c>
      <c r="E26" s="5" t="inlineStr">
        <is>
          <t>PO4</t>
        </is>
      </c>
      <c r="F26" s="5" t="inlineStr">
        <is>
          <t>PO5</t>
        </is>
      </c>
      <c r="G26" s="5" t="inlineStr">
        <is>
          <t>PO6</t>
        </is>
      </c>
      <c r="H26" s="5" t="inlineStr">
        <is>
          <t>PO7</t>
        </is>
      </c>
      <c r="I26" s="5" t="inlineStr">
        <is>
          <t>PO8</t>
        </is>
      </c>
      <c r="J26" s="5" t="inlineStr">
        <is>
          <t>PO9</t>
        </is>
      </c>
      <c r="K26" s="5" t="inlineStr">
        <is>
          <t>PO10</t>
        </is>
      </c>
      <c r="L26" s="5" t="inlineStr">
        <is>
          <t>PO11</t>
        </is>
      </c>
      <c r="M26" s="5" t="inlineStr">
        <is>
          <t>PO12</t>
        </is>
      </c>
      <c r="N26" s="5" t="inlineStr">
        <is>
          <t>PSO1</t>
        </is>
      </c>
      <c r="O26" s="5" t="inlineStr">
        <is>
          <t>PSO2</t>
        </is>
      </c>
    </row>
    <row r="27">
      <c r="A27" s="5" t="inlineStr">
        <is>
          <t>CO1</t>
        </is>
      </c>
      <c r="B27" s="6">
        <f>Attainment!D43</f>
        <v/>
      </c>
      <c r="C27" s="6">
        <f>Attainment!D43</f>
        <v/>
      </c>
      <c r="D27" s="6">
        <f>Attainment!D43</f>
        <v/>
      </c>
      <c r="E27" s="6">
        <f>Attainment!D43</f>
        <v/>
      </c>
      <c r="F27" s="6">
        <f>Attainment!D43</f>
        <v/>
      </c>
      <c r="G27" s="6">
        <f>Attainment!D43</f>
        <v/>
      </c>
      <c r="H27" s="6">
        <f>Attainment!D43</f>
        <v/>
      </c>
      <c r="I27" s="6">
        <f>Attainment!D43</f>
        <v/>
      </c>
      <c r="J27" s="6">
        <f>Attainment!D43</f>
        <v/>
      </c>
      <c r="K27" s="6">
        <f>Attainment!D43</f>
        <v/>
      </c>
      <c r="L27" s="6">
        <f>Attainment!D43</f>
        <v/>
      </c>
      <c r="M27" s="6">
        <f>Attainment!D43</f>
        <v/>
      </c>
      <c r="N27" s="6">
        <f>Attainment!D43</f>
        <v/>
      </c>
      <c r="O27" s="6">
        <f>Attainment!D43</f>
        <v/>
      </c>
    </row>
    <row r="28">
      <c r="A28" s="5" t="inlineStr">
        <is>
          <t>CO2</t>
        </is>
      </c>
      <c r="B28" s="6">
        <f>Attainment!D44</f>
        <v/>
      </c>
      <c r="C28" s="6">
        <f>Attainment!D44</f>
        <v/>
      </c>
      <c r="D28" s="6">
        <f>Attainment!D44</f>
        <v/>
      </c>
      <c r="E28" s="6">
        <f>Attainment!D44</f>
        <v/>
      </c>
      <c r="F28" s="6">
        <f>Attainment!D44</f>
        <v/>
      </c>
      <c r="G28" s="6">
        <f>Attainment!D44</f>
        <v/>
      </c>
      <c r="H28" s="6">
        <f>Attainment!D44</f>
        <v/>
      </c>
      <c r="I28" s="6">
        <f>Attainment!D44</f>
        <v/>
      </c>
      <c r="J28" s="6">
        <f>Attainment!D44</f>
        <v/>
      </c>
      <c r="K28" s="6">
        <f>Attainment!D44</f>
        <v/>
      </c>
      <c r="L28" s="6">
        <f>Attainment!D44</f>
        <v/>
      </c>
      <c r="M28" s="6">
        <f>Attainment!D44</f>
        <v/>
      </c>
      <c r="N28" s="6">
        <f>Attainment!D44</f>
        <v/>
      </c>
      <c r="O28" s="6">
        <f>Attainment!D44</f>
        <v/>
      </c>
    </row>
    <row r="29">
      <c r="A29" s="5" t="inlineStr">
        <is>
          <t>CO3</t>
        </is>
      </c>
      <c r="B29" s="6">
        <f>Attainment!D45</f>
        <v/>
      </c>
      <c r="C29" s="6">
        <f>Attainment!D45</f>
        <v/>
      </c>
      <c r="D29" s="6">
        <f>Attainment!D45</f>
        <v/>
      </c>
      <c r="E29" s="6">
        <f>Attainment!D45</f>
        <v/>
      </c>
      <c r="F29" s="6">
        <f>Attainment!D45</f>
        <v/>
      </c>
      <c r="G29" s="6">
        <f>Attainment!D45</f>
        <v/>
      </c>
      <c r="H29" s="6">
        <f>Attainment!D45</f>
        <v/>
      </c>
      <c r="I29" s="6">
        <f>Attainment!D45</f>
        <v/>
      </c>
      <c r="J29" s="6">
        <f>Attainment!D45</f>
        <v/>
      </c>
      <c r="K29" s="6">
        <f>Attainment!D45</f>
        <v/>
      </c>
      <c r="L29" s="6">
        <f>Attainment!D45</f>
        <v/>
      </c>
      <c r="M29" s="6">
        <f>Attainment!D45</f>
        <v/>
      </c>
      <c r="N29" s="6">
        <f>Attainment!D45</f>
        <v/>
      </c>
      <c r="O29" s="6">
        <f>Attainment!D45</f>
        <v/>
      </c>
    </row>
    <row r="30">
      <c r="A30" s="5" t="inlineStr">
        <is>
          <t>CO4</t>
        </is>
      </c>
      <c r="B30" s="6">
        <f>Attainment!D46</f>
        <v/>
      </c>
      <c r="C30" s="6">
        <f>Attainment!D46</f>
        <v/>
      </c>
      <c r="D30" s="6">
        <f>Attainment!D46</f>
        <v/>
      </c>
      <c r="E30" s="6">
        <f>Attainment!D46</f>
        <v/>
      </c>
      <c r="F30" s="6">
        <f>Attainment!D46</f>
        <v/>
      </c>
      <c r="G30" s="6">
        <f>Attainment!D46</f>
        <v/>
      </c>
      <c r="H30" s="6">
        <f>Attainment!D46</f>
        <v/>
      </c>
      <c r="I30" s="6">
        <f>Attainment!D46</f>
        <v/>
      </c>
      <c r="J30" s="6">
        <f>Attainment!D46</f>
        <v/>
      </c>
      <c r="K30" s="6">
        <f>Attainment!D46</f>
        <v/>
      </c>
      <c r="L30" s="6">
        <f>Attainment!D46</f>
        <v/>
      </c>
      <c r="M30" s="6">
        <f>Attainment!D46</f>
        <v/>
      </c>
      <c r="N30" s="6">
        <f>Attainment!D46</f>
        <v/>
      </c>
      <c r="O30" s="6">
        <f>Attainment!D46</f>
        <v/>
      </c>
    </row>
    <row r="31">
      <c r="A31" s="5" t="inlineStr">
        <is>
          <t>CO5</t>
        </is>
      </c>
      <c r="B31" s="6">
        <f>Attainment!D47</f>
        <v/>
      </c>
      <c r="C31" s="6">
        <f>Attainment!D47</f>
        <v/>
      </c>
      <c r="D31" s="6">
        <f>Attainment!D47</f>
        <v/>
      </c>
      <c r="E31" s="6">
        <f>Attainment!D47</f>
        <v/>
      </c>
      <c r="F31" s="6">
        <f>Attainment!D47</f>
        <v/>
      </c>
      <c r="G31" s="6">
        <f>Attainment!D47</f>
        <v/>
      </c>
      <c r="H31" s="6">
        <f>Attainment!D47</f>
        <v/>
      </c>
      <c r="I31" s="6">
        <f>Attainment!D47</f>
        <v/>
      </c>
      <c r="J31" s="6">
        <f>Attainment!D47</f>
        <v/>
      </c>
      <c r="K31" s="6">
        <f>Attainment!D47</f>
        <v/>
      </c>
      <c r="L31" s="6">
        <f>Attainment!D47</f>
        <v/>
      </c>
      <c r="M31" s="6">
        <f>Attainment!D47</f>
        <v/>
      </c>
      <c r="N31" s="6">
        <f>Attainment!D47</f>
        <v/>
      </c>
      <c r="O31" s="6">
        <f>Attainment!D47</f>
        <v/>
      </c>
    </row>
    <row r="32">
      <c r="A32" s="2" t="n"/>
    </row>
    <row r="34">
      <c r="A34" s="1" t="inlineStr">
        <is>
          <t>Direct PO Attainment (After Applying CO-PO Mapping)</t>
        </is>
      </c>
    </row>
    <row r="36">
      <c r="A36" s="4" t="inlineStr">
        <is>
          <t>Course Outcomes(COs)</t>
        </is>
      </c>
      <c r="B36" s="5" t="inlineStr">
        <is>
          <t>Programme Outcomes(POs)</t>
        </is>
      </c>
      <c r="C36" s="11" t="n"/>
      <c r="D36" s="11" t="n"/>
      <c r="E36" s="11" t="n"/>
      <c r="F36" s="11" t="n"/>
      <c r="G36" s="11" t="n"/>
      <c r="H36" s="11" t="n"/>
      <c r="I36" s="11" t="n"/>
      <c r="J36" s="11" t="n"/>
      <c r="K36" s="11" t="n"/>
      <c r="L36" s="11" t="n"/>
      <c r="M36" s="12" t="n"/>
      <c r="N36" s="5" t="inlineStr">
        <is>
          <t>PSOs</t>
        </is>
      </c>
      <c r="O36" s="12" t="n"/>
    </row>
    <row r="37">
      <c r="A37" s="13" t="n"/>
      <c r="B37" s="5" t="inlineStr">
        <is>
          <t>PO1</t>
        </is>
      </c>
      <c r="C37" s="5" t="inlineStr">
        <is>
          <t>PO2</t>
        </is>
      </c>
      <c r="D37" s="5" t="inlineStr">
        <is>
          <t>PO3</t>
        </is>
      </c>
      <c r="E37" s="5" t="inlineStr">
        <is>
          <t>PO4</t>
        </is>
      </c>
      <c r="F37" s="5" t="inlineStr">
        <is>
          <t>PO5</t>
        </is>
      </c>
      <c r="G37" s="5" t="inlineStr">
        <is>
          <t>PO6</t>
        </is>
      </c>
      <c r="H37" s="5" t="inlineStr">
        <is>
          <t>PO7</t>
        </is>
      </c>
      <c r="I37" s="5" t="inlineStr">
        <is>
          <t>PO8</t>
        </is>
      </c>
      <c r="J37" s="5" t="inlineStr">
        <is>
          <t>PO9</t>
        </is>
      </c>
      <c r="K37" s="5" t="inlineStr">
        <is>
          <t>PO10</t>
        </is>
      </c>
      <c r="L37" s="5" t="inlineStr">
        <is>
          <t>PO11</t>
        </is>
      </c>
      <c r="M37" s="5" t="inlineStr">
        <is>
          <t>PO12</t>
        </is>
      </c>
      <c r="N37" s="5" t="inlineStr">
        <is>
          <t>PSO1</t>
        </is>
      </c>
      <c r="O37" s="5" t="inlineStr">
        <is>
          <t>PSO2</t>
        </is>
      </c>
    </row>
    <row r="38">
      <c r="A38" s="5" t="inlineStr">
        <is>
          <t>CO1</t>
        </is>
      </c>
      <c r="B38" s="6" t="inlineStr"/>
      <c r="C38" s="6" t="inlineStr"/>
      <c r="D38" s="6" t="inlineStr"/>
      <c r="E38" s="6" t="inlineStr"/>
      <c r="F38" s="6" t="inlineStr"/>
      <c r="G38" s="6" t="inlineStr"/>
      <c r="H38" s="6" t="inlineStr"/>
      <c r="I38" s="6" t="inlineStr"/>
      <c r="J38" s="6" t="inlineStr"/>
      <c r="K38" s="6" t="inlineStr"/>
      <c r="L38" s="6" t="inlineStr"/>
      <c r="M38" s="6" t="inlineStr"/>
      <c r="N38" s="6" t="inlineStr"/>
      <c r="O38" s="6" t="inlineStr"/>
    </row>
    <row r="39">
      <c r="A39" s="5" t="inlineStr">
        <is>
          <t>CO2</t>
        </is>
      </c>
      <c r="B39" s="6" t="inlineStr"/>
      <c r="C39" s="6" t="inlineStr"/>
      <c r="D39" s="6" t="inlineStr"/>
      <c r="E39" s="6" t="inlineStr"/>
      <c r="F39" s="6" t="inlineStr"/>
      <c r="G39" s="6" t="inlineStr"/>
      <c r="H39" s="6" t="inlineStr"/>
      <c r="I39" s="6" t="inlineStr"/>
      <c r="J39" s="6" t="inlineStr"/>
      <c r="K39" s="6" t="inlineStr"/>
      <c r="L39" s="6" t="inlineStr"/>
      <c r="M39" s="6" t="inlineStr"/>
      <c r="N39" s="6" t="inlineStr"/>
      <c r="O39" s="6" t="inlineStr"/>
    </row>
    <row r="40">
      <c r="A40" s="5" t="inlineStr">
        <is>
          <t>CO3</t>
        </is>
      </c>
      <c r="B40" s="6" t="inlineStr"/>
      <c r="C40" s="6" t="inlineStr"/>
      <c r="D40" s="6" t="inlineStr"/>
      <c r="E40" s="6" t="inlineStr"/>
      <c r="F40" s="6" t="inlineStr"/>
      <c r="G40" s="6" t="inlineStr"/>
      <c r="H40" s="6" t="inlineStr"/>
      <c r="I40" s="6" t="inlineStr"/>
      <c r="J40" s="6" t="inlineStr"/>
      <c r="K40" s="6" t="inlineStr"/>
      <c r="L40" s="6" t="inlineStr"/>
      <c r="M40" s="6" t="inlineStr"/>
      <c r="N40" s="6" t="inlineStr"/>
      <c r="O40" s="6" t="inlineStr"/>
    </row>
    <row r="41">
      <c r="A41" s="5" t="inlineStr">
        <is>
          <t>CO4</t>
        </is>
      </c>
      <c r="B41" s="6" t="inlineStr"/>
      <c r="C41" s="6" t="inlineStr"/>
      <c r="D41" s="6" t="inlineStr"/>
      <c r="E41" s="6" t="inlineStr"/>
      <c r="F41" s="6" t="inlineStr"/>
      <c r="G41" s="6" t="inlineStr"/>
      <c r="H41" s="6" t="inlineStr"/>
      <c r="I41" s="6" t="inlineStr"/>
      <c r="J41" s="6" t="inlineStr"/>
      <c r="K41" s="6" t="inlineStr"/>
      <c r="L41" s="6" t="inlineStr"/>
      <c r="M41" s="6" t="inlineStr"/>
      <c r="N41" s="6" t="inlineStr"/>
      <c r="O41" s="6" t="inlineStr"/>
    </row>
    <row r="42">
      <c r="A42" s="5" t="inlineStr">
        <is>
          <t>CO5</t>
        </is>
      </c>
      <c r="B42" s="6" t="inlineStr"/>
      <c r="C42" s="6" t="inlineStr"/>
      <c r="D42" s="6" t="inlineStr"/>
      <c r="E42" s="6" t="inlineStr"/>
      <c r="F42" s="6" t="inlineStr"/>
      <c r="G42" s="6" t="inlineStr"/>
      <c r="H42" s="6" t="inlineStr"/>
      <c r="I42" s="6" t="inlineStr"/>
      <c r="J42" s="6" t="inlineStr"/>
      <c r="K42" s="6" t="inlineStr"/>
      <c r="L42" s="6" t="inlineStr"/>
      <c r="M42" s="6" t="inlineStr"/>
      <c r="N42" s="6" t="inlineStr"/>
      <c r="O42" s="6" t="inlineStr"/>
    </row>
    <row r="43">
      <c r="A43" s="5" t="n"/>
      <c r="B43" s="6" t="n"/>
      <c r="C43" s="6" t="n"/>
      <c r="D43" s="6" t="n"/>
      <c r="E43" s="6" t="n"/>
      <c r="F43" s="6" t="n"/>
      <c r="G43" s="6" t="n"/>
      <c r="H43" s="6" t="n"/>
      <c r="I43" s="6" t="n"/>
      <c r="J43" s="6" t="n"/>
      <c r="K43" s="6" t="n"/>
      <c r="L43" s="6" t="n"/>
      <c r="M43" s="6" t="n"/>
      <c r="N43" s="6" t="n"/>
      <c r="O43" s="6" t="n"/>
    </row>
    <row r="44">
      <c r="A44" s="5" t="inlineStr">
        <is>
          <t>Avg PO</t>
        </is>
      </c>
      <c r="B44" s="5">
        <f>ROUND(AVERAGE(B38:B43),1)</f>
        <v/>
      </c>
      <c r="C44" s="5">
        <f>ROUND(AVERAGE(C38:C43),1)</f>
        <v/>
      </c>
      <c r="D44" s="5">
        <f>ROUND(AVERAGE(D38:D43),1)</f>
        <v/>
      </c>
      <c r="E44" s="5">
        <f>ROUND(AVERAGE(E38:E43),1)</f>
        <v/>
      </c>
      <c r="F44" s="5">
        <f>ROUND(AVERAGE(F38:F43),1)</f>
        <v/>
      </c>
      <c r="G44" s="5">
        <f>ROUND(AVERAGE(G38:G43),1)</f>
        <v/>
      </c>
      <c r="H44" s="5">
        <f>ROUND(AVERAGE(H38:H43),1)</f>
        <v/>
      </c>
      <c r="I44" s="5">
        <f>ROUND(AVERAGE(I38:I43),1)</f>
        <v/>
      </c>
      <c r="J44" s="5">
        <f>ROUND(AVERAGE(J38:J43),1)</f>
        <v/>
      </c>
      <c r="K44" s="5">
        <f>ROUND(AVERAGE(K38:K43),1)</f>
        <v/>
      </c>
      <c r="L44" s="5">
        <f>ROUND(AVERAGE(L38:L43),1)</f>
        <v/>
      </c>
      <c r="M44" s="5">
        <f>ROUND(AVERAGE(M38:M43),1)</f>
        <v/>
      </c>
      <c r="N44" s="5">
        <f>ROUND(AVERAGE(N38:N43),1)</f>
        <v/>
      </c>
      <c r="O44" s="5">
        <f>ROUND(AVERAGE(O38:O43),1)</f>
        <v/>
      </c>
    </row>
    <row r="47">
      <c r="A47" s="5" t="inlineStr">
        <is>
          <t>AL</t>
        </is>
      </c>
      <c r="B47" s="5" t="inlineStr">
        <is>
          <t>%</t>
        </is>
      </c>
    </row>
    <row r="48">
      <c r="A48" s="6" t="inlineStr">
        <is>
          <t>1</t>
        </is>
      </c>
      <c r="B48" s="6" t="inlineStr">
        <is>
          <t>40</t>
        </is>
      </c>
    </row>
    <row r="49">
      <c r="A49" s="6" t="inlineStr">
        <is>
          <t>2</t>
        </is>
      </c>
      <c r="B49" s="6" t="inlineStr">
        <is>
          <t>60</t>
        </is>
      </c>
    </row>
    <row r="50">
      <c r="A50" s="6" t="inlineStr">
        <is>
          <t>3</t>
        </is>
      </c>
      <c r="B50" s="6" t="inlineStr">
        <is>
          <t>100</t>
        </is>
      </c>
    </row>
  </sheetData>
  <mergeCells count="22">
    <mergeCell ref="A7:O7"/>
    <mergeCell ref="B14:M14"/>
    <mergeCell ref="N25:O25"/>
    <mergeCell ref="A36:A37"/>
    <mergeCell ref="A3:O3"/>
    <mergeCell ref="A12:O12"/>
    <mergeCell ref="A2:O2"/>
    <mergeCell ref="A25:A26"/>
    <mergeCell ref="A5:O5"/>
    <mergeCell ref="A23:O23"/>
    <mergeCell ref="A8:O8"/>
    <mergeCell ref="A4:O4"/>
    <mergeCell ref="N14:O14"/>
    <mergeCell ref="A14:A15"/>
    <mergeCell ref="A10:O10"/>
    <mergeCell ref="B36:M36"/>
    <mergeCell ref="A34:O34"/>
    <mergeCell ref="A9:O9"/>
    <mergeCell ref="B25:M25"/>
    <mergeCell ref="A1:O1"/>
    <mergeCell ref="A6:O6"/>
    <mergeCell ref="N36:O3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C1"/>
    </sheetView>
  </sheetViews>
  <sheetFormatPr baseColWidth="8" defaultColWidth="9" defaultRowHeight="14.4"/>
  <sheetData>
    <row r="1">
      <c r="A1" t="inlineStr">
        <is>
          <t>Basic Information</t>
        </is>
      </c>
    </row>
    <row r="3">
      <c r="A3" t="inlineStr">
        <is>
          <t>TargetCA1Text</t>
        </is>
      </c>
      <c r="B3" t="inlineStr">
        <is>
          <t>1</t>
        </is>
      </c>
    </row>
    <row r="4">
      <c r="A4" t="inlineStr">
        <is>
          <t>TargetCA2Text</t>
        </is>
      </c>
      <c r="B4" t="inlineStr">
        <is>
          <t>1</t>
        </is>
      </c>
    </row>
    <row r="5">
      <c r="A5" t="inlineStr">
        <is>
          <t>TargetCA3Text</t>
        </is>
      </c>
      <c r="B5" t="inlineStr">
        <is>
          <t>-</t>
        </is>
      </c>
    </row>
    <row r="6">
      <c r="A6" t="inlineStr">
        <is>
          <t>TargetMidTermText</t>
        </is>
      </c>
      <c r="B6" t="inlineStr">
        <is>
          <t>1</t>
        </is>
      </c>
    </row>
    <row r="7">
      <c r="A7" t="inlineStr">
        <is>
          <t>TargetEndSemText</t>
        </is>
      </c>
      <c r="B7" t="inlineStr">
        <is>
          <t>1</t>
        </is>
      </c>
    </row>
    <row r="9">
      <c r="A9" t="inlineStr">
        <is>
          <t>No. of COs</t>
        </is>
      </c>
      <c r="B9" t="n">
        <v>5</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2024-12-17T03:21:00Z</dcterms:created>
  <dcterms:modified xsi:type="dcterms:W3CDTF">2024-12-17T03:21:51Z</dcterms:modified>
  <cp:lastModifiedBy>saira</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A99FAFE6A1DF4BAC8F899DC6B8F7AA4B_12</vt:lpwstr>
  </property>
  <property name="KSOProductBuildVer" fmtid="{D5CDD505-2E9C-101B-9397-08002B2CF9AE}" pid="3">
    <vt:lpwstr>2057-12.2.0.18639</vt:lpwstr>
  </property>
</Properties>
</file>