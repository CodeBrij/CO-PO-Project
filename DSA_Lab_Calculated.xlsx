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2" autoFilterDateGrouping="1"/>
  </bookViews>
  <sheets>
    <sheet name="Orals" sheetId="1" state="visible" r:id="rId1"/>
    <sheet name="Lab" sheetId="2" state="visible" r:id="rId2"/>
    <sheet name="Mini Project" sheetId="3" state="visible" r:id="rId3"/>
    <sheet name="Assignment" sheetId="4" state="visible" r:id="rId4"/>
    <sheet name="Option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b val="1"/>
      <color theme="1"/>
      <sz val="11"/>
    </font>
    <font>
      <name val="Calibri"/>
      <family val="2"/>
      <color rgb="FF000000"/>
      <sz val="11"/>
    </font>
    <font>
      <name val="Calibri"/>
      <family val="2"/>
      <b val="1"/>
      <color theme="1"/>
      <sz val="14"/>
    </font>
    <font>
      <name val="Arial"/>
      <family val="2"/>
      <color rgb="FF000000"/>
      <sz val="10"/>
    </font>
    <font>
      <name val="Calibri"/>
      <family val="2"/>
      <b val="1"/>
      <color theme="1"/>
      <sz val="12"/>
    </font>
    <font>
      <b val="1"/>
    </font>
  </fonts>
  <fills count="2">
    <fill>
      <patternFill/>
    </fill>
    <fill>
      <patternFill patternType="gray125"/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1"/>
  </cellStyleXfs>
  <cellXfs count="47">
    <xf numFmtId="0" fontId="0" fillId="0" borderId="0" pivotButton="0" quotePrefix="0" xfId="0"/>
    <xf numFmtId="0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right"/>
    </xf>
    <xf numFmtId="3" fontId="1" fillId="0" borderId="1" applyAlignment="1" pivotButton="0" quotePrefix="0" xfId="0">
      <alignment horizontal="right"/>
    </xf>
    <xf numFmtId="0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right"/>
    </xf>
    <xf numFmtId="3" fontId="2" fillId="0" borderId="2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1" fillId="0" borderId="2" applyAlignment="1" pivotButton="0" quotePrefix="0" xfId="0">
      <alignment horizontal="center"/>
    </xf>
    <xf numFmtId="3" fontId="1" fillId="0" borderId="2" applyAlignment="1" pivotButton="0" quotePrefix="0" xfId="0">
      <alignment horizontal="center"/>
    </xf>
    <xf numFmtId="3" fontId="3" fillId="0" borderId="2" applyAlignment="1" pivotButton="0" quotePrefix="0" xfId="0">
      <alignment horizontal="center"/>
    </xf>
    <xf numFmtId="3" fontId="3" fillId="0" borderId="3" applyAlignment="1" pivotButton="0" quotePrefix="0" xfId="0">
      <alignment horizontal="center"/>
    </xf>
    <xf numFmtId="3" fontId="3" fillId="0" borderId="4" applyAlignment="1" pivotButton="0" quotePrefix="0" xfId="0">
      <alignment horizontal="center"/>
    </xf>
    <xf numFmtId="3" fontId="3" fillId="0" borderId="5" applyAlignment="1" pivotButton="0" quotePrefix="0" xfId="0">
      <alignment horizontal="center"/>
    </xf>
    <xf numFmtId="3" fontId="1" fillId="0" borderId="2" applyAlignment="1" pivotButton="0" quotePrefix="0" xfId="0">
      <alignment horizontal="left"/>
    </xf>
    <xf numFmtId="3" fontId="2" fillId="0" borderId="2" applyAlignment="1" pivotButton="0" quotePrefix="0" xfId="0">
      <alignment horizontal="left"/>
    </xf>
    <xf numFmtId="3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center"/>
    </xf>
    <xf numFmtId="3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center"/>
    </xf>
    <xf numFmtId="3" fontId="4" fillId="0" borderId="1" applyAlignment="1" pivotButton="0" quotePrefix="0" xfId="0">
      <alignment horizontal="center"/>
    </xf>
    <xf numFmtId="3" fontId="0" fillId="0" borderId="0" applyAlignment="1" pivotButton="0" quotePrefix="0" xfId="0">
      <alignment horizontal="general" wrapText="1"/>
    </xf>
    <xf numFmtId="0" fontId="1" fillId="0" borderId="2" applyAlignment="1" pivotButton="0" quotePrefix="0" xfId="0">
      <alignment horizontal="left"/>
    </xf>
    <xf numFmtId="3" fontId="1" fillId="0" borderId="2" applyAlignment="1" pivotButton="0" quotePrefix="0" xfId="0">
      <alignment horizontal="right" vertical="top"/>
    </xf>
    <xf numFmtId="3" fontId="1" fillId="0" borderId="2" applyAlignment="1" pivotButton="0" quotePrefix="0" xfId="0">
      <alignment horizontal="right"/>
    </xf>
    <xf numFmtId="0" fontId="1" fillId="0" borderId="2" applyAlignment="1" pivotButton="0" quotePrefix="0" xfId="0">
      <alignment horizontal="left" vertical="top"/>
    </xf>
    <xf numFmtId="3" fontId="5" fillId="0" borderId="6" applyAlignment="1" pivotButton="0" quotePrefix="0" xfId="0">
      <alignment horizontal="right" wrapText="1"/>
    </xf>
    <xf numFmtId="3" fontId="5" fillId="0" borderId="7" applyAlignment="1" pivotButton="0" quotePrefix="0" xfId="0">
      <alignment horizontal="right" wrapText="1"/>
    </xf>
    <xf numFmtId="3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center"/>
    </xf>
    <xf numFmtId="3" fontId="6" fillId="0" borderId="2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3" fontId="4" fillId="0" borderId="2" applyAlignment="1" pivotButton="0" quotePrefix="0" xfId="0">
      <alignment horizontal="center"/>
    </xf>
    <xf numFmtId="0" fontId="1" fillId="0" borderId="8" applyAlignment="1" pivotButton="0" quotePrefix="0" xfId="0">
      <alignment horizontal="left"/>
    </xf>
    <xf numFmtId="3" fontId="1" fillId="0" borderId="8" applyAlignment="1" pivotButton="0" quotePrefix="0" xfId="0">
      <alignment horizontal="left"/>
    </xf>
    <xf numFmtId="0" fontId="1" fillId="0" borderId="3" applyAlignment="1" pivotButton="0" quotePrefix="0" xfId="0">
      <alignment horizontal="left"/>
    </xf>
    <xf numFmtId="0" fontId="0" fillId="0" borderId="8" pivotButton="0" quotePrefix="0" xfId="0"/>
    <xf numFmtId="0" fontId="0" fillId="0" borderId="3" pivotButton="0" quotePrefix="0" xfId="0"/>
    <xf numFmtId="0" fontId="7" fillId="0" borderId="13" pivotButton="0" quotePrefix="0" xfId="0"/>
    <xf numFmtId="0" fontId="0" fillId="0" borderId="13" pivotButton="0" quotePrefix="0" xfId="0"/>
    <xf numFmtId="0" fontId="7" fillId="0" borderId="13" applyAlignment="1" pivotButton="0" quotePrefix="0" xfId="0">
      <alignment horizontal="center"/>
    </xf>
    <xf numFmtId="3" fontId="7" fillId="0" borderId="13" applyAlignment="1" pivotButton="0" quotePrefix="0" xfId="0">
      <alignment horizontal="center"/>
    </xf>
    <xf numFmtId="0" fontId="0" fillId="0" borderId="12" pivotButton="0" quotePrefix="0" xfId="0"/>
    <xf numFmtId="0" fontId="0" fillId="0" borderId="4" pivotButton="0" quotePrefix="0" xfId="0"/>
    <xf numFmtId="3" fontId="0" fillId="0" borderId="1" applyAlignment="1" pivotButton="0" quotePrefix="0" xfId="0">
      <alignment horizontal="general"/>
    </xf>
    <xf numFmtId="3" fontId="1" fillId="0" borderId="13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E65"/>
  <sheetViews>
    <sheetView workbookViewId="0">
      <selection activeCell="A1" sqref="A1"/>
    </sheetView>
  </sheetViews>
  <sheetFormatPr baseColWidth="8" defaultRowHeight="15"/>
  <cols>
    <col width="13.57642857142857" bestFit="1" customWidth="1" style="19" min="1" max="1"/>
    <col width="13.57642857142857" bestFit="1" customWidth="1" style="4" min="2" max="2"/>
    <col width="13.57642857142857" bestFit="1" customWidth="1" style="19" min="3" max="3"/>
    <col width="13.57642857142857" bestFit="1" customWidth="1" style="4" min="4" max="4"/>
    <col width="13.57642857142857" bestFit="1" customWidth="1" style="4" min="5" max="5"/>
  </cols>
  <sheetData>
    <row r="1" ht="18.75" customHeight="1">
      <c r="A1" s="33" t="inlineStr">
        <is>
          <t>DSA Orals</t>
        </is>
      </c>
      <c r="B1" s="37" t="n"/>
      <c r="C1" s="37" t="n"/>
      <c r="D1" s="37" t="n"/>
      <c r="E1" s="38" t="n"/>
    </row>
    <row r="2" ht="18.75" customHeight="1">
      <c r="A2" s="15" t="inlineStr">
        <is>
          <t>Target = 66.0%</t>
        </is>
      </c>
      <c r="B2" s="4" t="n"/>
      <c r="C2" s="19" t="n"/>
      <c r="D2" s="4" t="n"/>
      <c r="E2" s="4" t="n"/>
    </row>
    <row r="3" ht="18.75" customHeight="1">
      <c r="A3" s="15" t="inlineStr">
        <is>
          <t>Roll No.</t>
        </is>
      </c>
      <c r="B3" s="23" t="inlineStr">
        <is>
          <t>Name</t>
        </is>
      </c>
      <c r="C3" s="15" t="inlineStr">
        <is>
          <t>Marks(25)</t>
        </is>
      </c>
      <c r="D3" s="4" t="n"/>
      <c r="E3" s="4" t="n"/>
    </row>
    <row r="4" ht="18.75" customHeight="1">
      <c r="A4" s="25" t="n">
        <v>1</v>
      </c>
      <c r="B4" s="4" t="n"/>
      <c r="C4" s="3" t="n">
        <v>23</v>
      </c>
      <c r="D4" s="4" t="n"/>
      <c r="E4" s="4" t="n"/>
    </row>
    <row r="5" ht="18.75" customHeight="1">
      <c r="A5" s="25" t="n">
        <v>2</v>
      </c>
      <c r="B5" s="4" t="n"/>
      <c r="C5" s="3" t="n">
        <v>12</v>
      </c>
      <c r="D5" s="4" t="n"/>
      <c r="E5" s="4" t="n"/>
    </row>
    <row r="6" ht="18.75" customHeight="1">
      <c r="A6" s="25" t="n">
        <v>3</v>
      </c>
      <c r="B6" s="4" t="n"/>
      <c r="C6" s="3" t="n">
        <v>21</v>
      </c>
      <c r="D6" s="4" t="n"/>
      <c r="E6" s="4" t="n"/>
    </row>
    <row r="7" ht="18.75" customHeight="1">
      <c r="A7" s="25" t="n">
        <v>4</v>
      </c>
      <c r="B7" s="4" t="n"/>
      <c r="C7" s="3" t="n">
        <v>14</v>
      </c>
      <c r="D7" s="4" t="n"/>
      <c r="E7" s="4" t="n"/>
    </row>
    <row r="8" ht="18.75" customHeight="1">
      <c r="A8" s="25" t="n">
        <v>5</v>
      </c>
      <c r="B8" s="4" t="n"/>
      <c r="C8" s="3" t="n">
        <v>18</v>
      </c>
      <c r="D8" s="4" t="n"/>
      <c r="E8" s="4" t="n"/>
    </row>
    <row r="9" ht="18.75" customHeight="1">
      <c r="A9" s="25" t="n">
        <v>6</v>
      </c>
      <c r="B9" s="4" t="n"/>
      <c r="C9" s="3" t="n">
        <v>19</v>
      </c>
      <c r="D9" s="4" t="n"/>
      <c r="E9" s="4" t="n"/>
    </row>
    <row r="10" ht="18.75" customHeight="1">
      <c r="A10" s="25" t="n">
        <v>7</v>
      </c>
      <c r="B10" s="4" t="n"/>
      <c r="C10" s="3" t="n">
        <v>20</v>
      </c>
      <c r="D10" s="4" t="n"/>
      <c r="E10" s="4" t="n"/>
    </row>
    <row r="11" ht="18.75" customHeight="1">
      <c r="A11" s="25" t="n">
        <v>8</v>
      </c>
      <c r="B11" s="4" t="n"/>
      <c r="C11" s="3" t="n">
        <v>23</v>
      </c>
      <c r="D11" s="4" t="n"/>
      <c r="E11" s="4" t="n"/>
    </row>
    <row r="12" ht="18.75" customHeight="1">
      <c r="A12" s="25" t="n">
        <v>9</v>
      </c>
      <c r="B12" s="4" t="n"/>
      <c r="C12" s="3" t="n">
        <v>19</v>
      </c>
      <c r="D12" s="4" t="n"/>
      <c r="E12" s="4" t="n"/>
    </row>
    <row r="13" ht="18.75" customHeight="1">
      <c r="A13" s="25" t="n">
        <v>10</v>
      </c>
      <c r="B13" s="4" t="n"/>
      <c r="C13" s="3" t="n">
        <v>22</v>
      </c>
      <c r="D13" s="4" t="n"/>
      <c r="E13" s="4" t="n"/>
    </row>
    <row r="14" ht="18.75" customHeight="1">
      <c r="A14" s="25" t="n">
        <v>11</v>
      </c>
      <c r="B14" s="4" t="n"/>
      <c r="C14" s="3" t="n">
        <v>24</v>
      </c>
      <c r="D14" s="4" t="n"/>
      <c r="E14" s="4" t="n"/>
    </row>
    <row r="15" ht="18.75" customHeight="1">
      <c r="A15" s="25" t="n">
        <v>12</v>
      </c>
      <c r="B15" s="4" t="n"/>
      <c r="C15" s="3" t="n">
        <v>23</v>
      </c>
      <c r="D15" s="4" t="n"/>
      <c r="E15" s="4" t="n"/>
    </row>
    <row r="16" ht="18.75" customHeight="1">
      <c r="A16" s="25" t="n">
        <v>13</v>
      </c>
      <c r="B16" s="4" t="n"/>
      <c r="C16" s="3" t="n">
        <v>12</v>
      </c>
      <c r="D16" s="4" t="n"/>
      <c r="E16" s="4" t="n"/>
    </row>
    <row r="17" ht="18.75" customHeight="1">
      <c r="A17" s="25" t="n">
        <v>14</v>
      </c>
      <c r="B17" s="4" t="n"/>
      <c r="C17" s="3" t="n">
        <v>21</v>
      </c>
      <c r="D17" s="4" t="n"/>
      <c r="E17" s="4" t="n"/>
    </row>
    <row r="18" ht="18.75" customHeight="1">
      <c r="A18" s="25" t="n">
        <v>15</v>
      </c>
      <c r="B18" s="4" t="n"/>
      <c r="C18" s="3" t="n">
        <v>14</v>
      </c>
      <c r="D18" s="4" t="n"/>
      <c r="E18" s="4" t="n"/>
    </row>
    <row r="19" ht="18.75" customHeight="1">
      <c r="A19" s="25" t="n">
        <v>16</v>
      </c>
      <c r="B19" s="4" t="n"/>
      <c r="C19" s="3" t="n">
        <v>18</v>
      </c>
      <c r="D19" s="4" t="n"/>
      <c r="E19" s="4" t="n"/>
    </row>
    <row r="20" ht="18.75" customHeight="1">
      <c r="A20" s="25" t="n">
        <v>17</v>
      </c>
      <c r="B20" s="4" t="n"/>
      <c r="C20" s="3" t="n">
        <v>19</v>
      </c>
      <c r="D20" s="4" t="n"/>
      <c r="E20" s="4" t="n"/>
    </row>
    <row r="21" ht="18.75" customHeight="1">
      <c r="A21" s="25" t="n">
        <v>18</v>
      </c>
      <c r="B21" s="4" t="n"/>
      <c r="C21" s="3" t="n">
        <v>20</v>
      </c>
      <c r="D21" s="4" t="n"/>
      <c r="E21" s="4" t="n"/>
    </row>
    <row r="22" ht="18.75" customHeight="1">
      <c r="A22" s="25" t="n">
        <v>19</v>
      </c>
      <c r="B22" s="4" t="n"/>
      <c r="C22" s="3" t="n">
        <v>23</v>
      </c>
      <c r="D22" s="4" t="n"/>
      <c r="E22" s="4" t="n"/>
    </row>
    <row r="23" ht="18.75" customHeight="1">
      <c r="A23" s="25" t="n">
        <v>20</v>
      </c>
      <c r="B23" s="4" t="n"/>
      <c r="C23" s="3" t="n">
        <v>19</v>
      </c>
      <c r="D23" s="4" t="n"/>
      <c r="E23" s="4" t="n"/>
    </row>
    <row r="24" ht="18.75" customHeight="1">
      <c r="A24" s="25" t="n">
        <v>21</v>
      </c>
      <c r="B24" s="4" t="n"/>
      <c r="C24" s="3" t="n">
        <v>22</v>
      </c>
      <c r="D24" s="4" t="n"/>
      <c r="E24" s="4" t="n"/>
    </row>
    <row r="25" ht="18.75" customHeight="1">
      <c r="A25" s="25" t="n">
        <v>22</v>
      </c>
      <c r="B25" s="4" t="n"/>
      <c r="C25" s="3" t="n">
        <v>24</v>
      </c>
      <c r="D25" s="4" t="n"/>
      <c r="E25" s="4" t="n"/>
    </row>
    <row r="26" ht="18.75" customHeight="1">
      <c r="A26" s="25" t="n">
        <v>23</v>
      </c>
      <c r="B26" s="4" t="n"/>
      <c r="C26" s="19" t="n"/>
      <c r="D26" s="4" t="n"/>
      <c r="E26" s="4" t="n"/>
    </row>
    <row r="27" ht="18.75" customHeight="1">
      <c r="A27" s="25" t="n">
        <v>24</v>
      </c>
      <c r="B27" s="4" t="n"/>
      <c r="C27" s="19" t="n"/>
      <c r="D27" s="4" t="n"/>
      <c r="E27" s="4" t="n"/>
    </row>
    <row r="28" ht="18.75" customHeight="1">
      <c r="A28" s="25" t="n">
        <v>25</v>
      </c>
      <c r="B28" s="4" t="n"/>
      <c r="C28" s="19" t="n"/>
      <c r="D28" s="4" t="n"/>
      <c r="E28" s="4" t="n"/>
    </row>
    <row r="29" ht="18.75" customHeight="1">
      <c r="A29" s="25" t="n">
        <v>26</v>
      </c>
      <c r="B29" s="4" t="n"/>
      <c r="C29" s="3" t="n">
        <v>23</v>
      </c>
      <c r="D29" s="4" t="n"/>
      <c r="E29" s="4" t="n"/>
    </row>
    <row r="30" ht="18.75" customHeight="1">
      <c r="A30" s="25" t="n">
        <v>27</v>
      </c>
      <c r="B30" s="4" t="n"/>
      <c r="C30" s="3" t="n">
        <v>12</v>
      </c>
      <c r="D30" s="4" t="n"/>
      <c r="E30" s="4" t="n"/>
    </row>
    <row r="31" ht="18.75" customHeight="1">
      <c r="A31" s="25" t="n">
        <v>28</v>
      </c>
      <c r="B31" s="4" t="n"/>
      <c r="C31" s="3" t="n">
        <v>21</v>
      </c>
      <c r="D31" s="4" t="n"/>
      <c r="E31" s="4" t="n"/>
    </row>
    <row r="32" ht="18.75" customHeight="1">
      <c r="A32" s="25" t="n">
        <v>29</v>
      </c>
      <c r="B32" s="4" t="n"/>
      <c r="C32" s="3" t="n">
        <v>14</v>
      </c>
      <c r="D32" s="4" t="n"/>
      <c r="E32" s="4" t="n"/>
    </row>
    <row r="33" ht="18.75" customHeight="1">
      <c r="A33" s="25" t="n">
        <v>30</v>
      </c>
      <c r="B33" s="4" t="n"/>
      <c r="C33" s="3" t="n">
        <v>18</v>
      </c>
      <c r="D33" s="4" t="n"/>
      <c r="E33" s="4" t="n"/>
    </row>
    <row r="34" ht="18.75" customHeight="1">
      <c r="A34" s="25" t="n">
        <v>31</v>
      </c>
      <c r="B34" s="4" t="n"/>
      <c r="C34" s="3" t="n">
        <v>19</v>
      </c>
      <c r="D34" s="4" t="n"/>
      <c r="E34" s="4" t="n"/>
    </row>
    <row r="35" ht="18.75" customHeight="1">
      <c r="A35" s="25" t="n">
        <v>32</v>
      </c>
      <c r="B35" s="4" t="n"/>
      <c r="C35" s="3" t="n">
        <v>20</v>
      </c>
      <c r="D35" s="4" t="n"/>
      <c r="E35" s="4" t="n"/>
    </row>
    <row r="36" ht="18.75" customHeight="1">
      <c r="A36" s="25" t="n">
        <v>33</v>
      </c>
      <c r="B36" s="4" t="n"/>
      <c r="C36" s="3" t="n">
        <v>16</v>
      </c>
      <c r="D36" s="4" t="n"/>
      <c r="E36" s="4" t="n"/>
    </row>
    <row r="37" ht="18.75" customHeight="1">
      <c r="A37" s="25" t="n">
        <v>34</v>
      </c>
      <c r="B37" s="4" t="n"/>
      <c r="C37" s="3" t="n">
        <v>23</v>
      </c>
      <c r="D37" s="4" t="n"/>
      <c r="E37" s="4" t="n"/>
    </row>
    <row r="38" ht="18.75" customHeight="1">
      <c r="A38" s="25" t="n">
        <v>35</v>
      </c>
      <c r="B38" s="4" t="n"/>
      <c r="C38" s="3" t="n">
        <v>12</v>
      </c>
      <c r="D38" s="4" t="n"/>
      <c r="E38" s="4" t="n"/>
    </row>
    <row r="39" ht="18.75" customHeight="1">
      <c r="A39" s="25" t="n">
        <v>36</v>
      </c>
      <c r="B39" s="4" t="n"/>
      <c r="C39" s="3" t="n">
        <v>21</v>
      </c>
      <c r="D39" s="4" t="n"/>
      <c r="E39" s="4" t="n"/>
    </row>
    <row r="40" ht="18.75" customHeight="1">
      <c r="A40" s="25" t="n">
        <v>37</v>
      </c>
      <c r="B40" s="4" t="n"/>
      <c r="C40" s="3" t="n">
        <v>14</v>
      </c>
      <c r="D40" s="4" t="n"/>
      <c r="E40" s="4" t="n"/>
    </row>
    <row r="41" ht="18.75" customHeight="1">
      <c r="A41" s="25" t="n">
        <v>38</v>
      </c>
      <c r="B41" s="4" t="n"/>
      <c r="C41" s="3" t="n">
        <v>10</v>
      </c>
      <c r="D41" s="4" t="n"/>
      <c r="E41" s="4" t="n"/>
    </row>
    <row r="42" ht="18.75" customHeight="1">
      <c r="A42" s="25" t="n">
        <v>39</v>
      </c>
      <c r="B42" s="4" t="n"/>
      <c r="C42" s="3" t="n">
        <v>19</v>
      </c>
      <c r="D42" s="4" t="n"/>
      <c r="E42" s="4" t="n"/>
    </row>
    <row r="43" ht="18.75" customHeight="1">
      <c r="A43" s="25" t="n">
        <v>40</v>
      </c>
      <c r="B43" s="4" t="n"/>
      <c r="C43" s="3" t="n">
        <v>20</v>
      </c>
      <c r="D43" s="4" t="n"/>
      <c r="E43" s="4" t="n"/>
    </row>
    <row r="44" ht="18.75" customHeight="1">
      <c r="A44" s="25" t="n">
        <v>41</v>
      </c>
      <c r="B44" s="4" t="n"/>
      <c r="C44" s="3" t="n">
        <v>23</v>
      </c>
      <c r="D44" s="4" t="n"/>
      <c r="E44" s="4" t="n"/>
    </row>
    <row r="45" ht="18.75" customHeight="1">
      <c r="A45" s="25" t="n">
        <v>42</v>
      </c>
      <c r="B45" s="4" t="n"/>
      <c r="C45" s="3" t="n">
        <v>13</v>
      </c>
      <c r="D45" s="4" t="n"/>
      <c r="E45" s="4" t="n"/>
    </row>
    <row r="46" ht="18.75" customHeight="1">
      <c r="A46" s="25" t="n">
        <v>43</v>
      </c>
      <c r="B46" s="4" t="n"/>
      <c r="C46" s="3" t="n">
        <v>22</v>
      </c>
      <c r="D46" s="4" t="n"/>
      <c r="E46" s="4" t="n"/>
    </row>
    <row r="47" ht="18.75" customHeight="1">
      <c r="A47" s="25" t="n">
        <v>44</v>
      </c>
      <c r="B47" s="4" t="n"/>
      <c r="C47" s="3" t="n">
        <v>24</v>
      </c>
      <c r="D47" s="4" t="n"/>
      <c r="E47" s="4" t="n"/>
    </row>
    <row r="48" ht="18.75" customHeight="1">
      <c r="A48" s="25" t="n">
        <v>45</v>
      </c>
      <c r="B48" s="4" t="n"/>
      <c r="C48" s="3" t="n">
        <v>12</v>
      </c>
      <c r="D48" s="4" t="n"/>
      <c r="E48" s="4" t="n"/>
    </row>
    <row r="49" ht="18.75" customHeight="1">
      <c r="A49" s="25" t="n">
        <v>46</v>
      </c>
      <c r="B49" s="4" t="n"/>
      <c r="C49" s="3" t="n">
        <v>16</v>
      </c>
      <c r="D49" s="4" t="n"/>
      <c r="E49" s="4" t="n"/>
    </row>
    <row r="50" ht="18.75" customHeight="1">
      <c r="A50" s="25" t="n">
        <v>47</v>
      </c>
      <c r="B50" s="4" t="n"/>
      <c r="C50" s="3" t="n">
        <v>5</v>
      </c>
      <c r="D50" s="4" t="n"/>
      <c r="E50" s="4" t="n"/>
    </row>
    <row r="51" ht="18.75" customHeight="1">
      <c r="A51" s="25" t="n">
        <v>48</v>
      </c>
      <c r="B51" s="4" t="n"/>
      <c r="C51" s="3" t="n">
        <v>14</v>
      </c>
      <c r="D51" s="4" t="n"/>
      <c r="E51" s="4" t="n"/>
    </row>
    <row r="52" ht="18.75" customHeight="1">
      <c r="A52" s="25" t="n">
        <v>49</v>
      </c>
      <c r="B52" s="4" t="n"/>
      <c r="C52" s="3" t="n">
        <v>17</v>
      </c>
      <c r="D52" s="4" t="n"/>
      <c r="E52" s="4" t="n"/>
    </row>
    <row r="53" ht="18.75" customHeight="1">
      <c r="A53" s="25" t="n">
        <v>50</v>
      </c>
      <c r="B53" s="4" t="n"/>
      <c r="C53" s="3" t="n">
        <v>20</v>
      </c>
      <c r="D53" s="4" t="n"/>
      <c r="E53" s="4" t="n"/>
    </row>
    <row r="54" ht="18.75" customHeight="1">
      <c r="A54" s="19" t="n"/>
      <c r="B54" s="4" t="n"/>
      <c r="C54" s="19" t="n"/>
      <c r="D54" s="4" t="n"/>
      <c r="E54" s="4" t="n"/>
    </row>
    <row r="55" ht="18.75" customHeight="1">
      <c r="A55" s="19" t="n"/>
      <c r="B55" s="23" t="inlineStr">
        <is>
          <t>Count(appeared)</t>
        </is>
      </c>
      <c r="C55" s="19" t="n">
        <v>50</v>
      </c>
      <c r="D55" s="4" t="n"/>
      <c r="E55" s="4" t="n"/>
    </row>
    <row r="56" ht="18.75" customHeight="1">
      <c r="A56" s="19" t="n"/>
      <c r="B56" s="23" t="inlineStr">
        <is>
          <t>Count(&gt;=66.0%)</t>
        </is>
      </c>
      <c r="C56" s="19">
        <f>COUNTIF(C4:C53,"&gt;=16.5")</f>
        <v/>
      </c>
      <c r="D56" s="4" t="n"/>
      <c r="E56" s="4" t="n"/>
    </row>
    <row r="57" ht="18.75" customHeight="1">
      <c r="A57" s="19" t="n"/>
      <c r="B57" s="23" t="inlineStr">
        <is>
          <t>% count(&gt;=66.0%) w.r.t appeared</t>
        </is>
      </c>
      <c r="C57" s="19">
        <f>ROUND(C56/C55,1)*100</f>
        <v/>
      </c>
      <c r="D57" s="4" t="n"/>
      <c r="E57" s="4" t="n"/>
    </row>
    <row r="58" ht="18.75" customHeight="1">
      <c r="A58" s="19" t="n"/>
      <c r="B58" s="23" t="inlineStr">
        <is>
          <t>AL (All Los)</t>
        </is>
      </c>
      <c r="C58" s="19">
        <f>IF(C57&lt;60,1,IF(AND(C57&gt;59,C57&lt;70),2,IF(AND(C57&gt;69,C57&lt;80),3,4)))</f>
        <v/>
      </c>
      <c r="D58" s="4" t="n"/>
      <c r="E58" s="4" t="n"/>
    </row>
    <row r="60">
      <c r="B60" s="39" t="inlineStr">
        <is>
          <t>LOs</t>
        </is>
      </c>
      <c r="C60" s="39" t="inlineStr">
        <is>
          <t>AL</t>
        </is>
      </c>
    </row>
    <row r="61">
      <c r="B61" s="40" t="inlineStr">
        <is>
          <t>LO1</t>
        </is>
      </c>
      <c r="C61" s="40">
        <f>IF(C57&lt;60,1,IF(AND(C57&gt;59,C57&lt;70),2,IF(AND(C57&gt;69,C57&lt;80),3,4)))</f>
        <v/>
      </c>
    </row>
    <row r="62">
      <c r="B62" s="40" t="inlineStr">
        <is>
          <t>LO2</t>
        </is>
      </c>
      <c r="C62" s="40">
        <f>IF(C57&lt;60,1,IF(AND(C57&gt;59,C57&lt;70),2,IF(AND(C57&gt;69,C57&lt;80),3,4)))</f>
        <v/>
      </c>
    </row>
    <row r="63">
      <c r="B63" s="40" t="inlineStr">
        <is>
          <t>LO3</t>
        </is>
      </c>
      <c r="C63" s="40">
        <f>IF(C57&lt;60,1,IF(AND(C57&gt;59,C57&lt;70),2,IF(AND(C57&gt;69,C57&lt;80),3,4)))</f>
        <v/>
      </c>
    </row>
    <row r="64">
      <c r="B64" s="40" t="inlineStr">
        <is>
          <t>LO4</t>
        </is>
      </c>
      <c r="C64" s="40">
        <f>IF(C57&lt;60,1,IF(AND(C57&gt;59,C57&lt;70),2,IF(AND(C57&gt;69,C57&lt;80),3,4)))</f>
        <v/>
      </c>
    </row>
    <row r="65">
      <c r="B65" s="40" t="inlineStr">
        <is>
          <t>LO5</t>
        </is>
      </c>
      <c r="C65" s="40">
        <f>IF(C57&lt;60,1,IF(AND(C57&gt;59,C57&lt;70),2,IF(AND(C57&gt;69,C57&lt;80),3,4)))</f>
        <v/>
      </c>
    </row>
  </sheetData>
  <mergeCells count="1">
    <mergeCell ref="A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N66"/>
  <sheetViews>
    <sheetView workbookViewId="0">
      <selection activeCell="A1" sqref="A1"/>
    </sheetView>
  </sheetViews>
  <sheetFormatPr baseColWidth="8" defaultRowHeight="15"/>
  <cols>
    <col width="10.005" bestFit="1" customWidth="1" style="20" min="1" max="1"/>
    <col width="25.005" bestFit="1" customWidth="1" style="32" min="2" max="2"/>
    <col width="13.57642857142857" bestFit="1" customWidth="1" style="20" min="3" max="3"/>
    <col width="13.57642857142857" bestFit="1" customWidth="1" style="20" min="4" max="4"/>
    <col width="13.57642857142857" bestFit="1" customWidth="1" style="20" min="5" max="5"/>
    <col width="13.57642857142857" bestFit="1" customWidth="1" style="20" min="6" max="6"/>
    <col width="13.57642857142857" bestFit="1" customWidth="1" style="20" min="7" max="7"/>
    <col width="13.57642857142857" bestFit="1" customWidth="1" style="20" min="8" max="8"/>
    <col width="13.57642857142857" bestFit="1" customWidth="1" style="20" min="9" max="9"/>
    <col width="13.57642857142857" bestFit="1" customWidth="1" style="20" min="10" max="10"/>
    <col width="13.57642857142857" bestFit="1" customWidth="1" style="32" min="11" max="11"/>
    <col width="13.57642857142857" bestFit="1" customWidth="1" style="32" min="12" max="12"/>
    <col width="13.57642857142857" bestFit="1" customWidth="1" style="32" min="13" max="13"/>
    <col width="13.57642857142857" bestFit="1" customWidth="1" style="32" min="14" max="14"/>
  </cols>
  <sheetData>
    <row r="1" ht="18.75" customHeight="1">
      <c r="A1" s="21" t="inlineStr">
        <is>
          <t>DSA Lab Work - Ungrouped</t>
        </is>
      </c>
    </row>
    <row r="2" ht="18.75" customHeight="1">
      <c r="A2" s="20" t="inlineStr">
        <is>
          <t>Target = 56.0</t>
        </is>
      </c>
      <c r="B2" s="32" t="inlineStr">
        <is>
          <t>Total Experiment = 8</t>
        </is>
      </c>
      <c r="C2" s="20" t="n"/>
      <c r="D2" s="20" t="n"/>
      <c r="E2" s="20" t="n"/>
      <c r="F2" s="20" t="n"/>
      <c r="G2" s="20" t="n"/>
      <c r="H2" s="20" t="n"/>
      <c r="I2" s="20" t="n"/>
      <c r="J2" s="20" t="n"/>
      <c r="K2" s="32" t="n"/>
      <c r="L2" s="32" t="n"/>
      <c r="M2" s="32" t="n"/>
      <c r="N2" s="32" t="n"/>
    </row>
    <row r="3" ht="18.75" customHeight="1">
      <c r="A3" s="10" t="inlineStr">
        <is>
          <t>Roll No.</t>
        </is>
      </c>
      <c r="B3" s="9" t="inlineStr">
        <is>
          <t>Name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9" t="n"/>
      <c r="L3" s="9" t="n"/>
      <c r="M3" s="9" t="n"/>
      <c r="N3" s="9" t="n"/>
    </row>
    <row r="4" ht="18.75" customHeight="1">
      <c r="A4" s="10" t="n"/>
      <c r="B4" s="9" t="n"/>
      <c r="C4" s="10" t="inlineStr">
        <is>
          <t>Exp 1</t>
        </is>
      </c>
      <c r="D4" s="10" t="inlineStr">
        <is>
          <t>Exp 2</t>
        </is>
      </c>
      <c r="E4" s="10" t="inlineStr">
        <is>
          <t>Exp 3</t>
        </is>
      </c>
      <c r="F4" s="10" t="inlineStr">
        <is>
          <t>Exp 4</t>
        </is>
      </c>
      <c r="G4" s="10" t="inlineStr">
        <is>
          <t>Exp 5</t>
        </is>
      </c>
      <c r="H4" s="10" t="inlineStr">
        <is>
          <t>Exp 6</t>
        </is>
      </c>
      <c r="I4" s="10" t="inlineStr">
        <is>
          <t>Exp 7</t>
        </is>
      </c>
      <c r="J4" s="10" t="inlineStr">
        <is>
          <t>Exp 8</t>
        </is>
      </c>
      <c r="K4" s="9" t="inlineStr">
        <is>
          <t>Average(15)</t>
        </is>
      </c>
      <c r="L4" s="9" t="inlineStr">
        <is>
          <t>Assignment 1</t>
        </is>
      </c>
      <c r="M4" s="9" t="inlineStr">
        <is>
          <t>Assignment 2</t>
        </is>
      </c>
      <c r="N4" s="9" t="inlineStr">
        <is>
          <t>Average Assignment(5)</t>
        </is>
      </c>
    </row>
    <row r="5" ht="18.75" customHeight="1">
      <c r="A5" s="31" t="inlineStr">
        <is>
          <t>LO</t>
        </is>
      </c>
      <c r="B5" s="38" t="n"/>
      <c r="C5" s="10" t="inlineStr">
        <is>
          <t>1,2</t>
        </is>
      </c>
      <c r="D5" s="10" t="inlineStr">
        <is>
          <t>2,3</t>
        </is>
      </c>
      <c r="E5" s="10" t="n">
        <v>4</v>
      </c>
      <c r="F5" s="10" t="n">
        <v>5</v>
      </c>
      <c r="G5" s="10" t="n">
        <v>2</v>
      </c>
      <c r="H5" s="10" t="n">
        <v>4</v>
      </c>
      <c r="I5" s="10" t="n">
        <v>5</v>
      </c>
      <c r="J5" s="10" t="n">
        <v>2</v>
      </c>
      <c r="K5" s="9" t="n"/>
      <c r="L5" s="9" t="n"/>
      <c r="M5" s="9" t="n"/>
      <c r="N5" s="9" t="n"/>
    </row>
    <row r="6" ht="18.75" customHeight="1">
      <c r="A6" s="10" t="n">
        <v>1</v>
      </c>
      <c r="B6" s="9" t="n"/>
      <c r="C6" s="10" t="n">
        <v>7</v>
      </c>
      <c r="D6" s="10" t="n">
        <v>7</v>
      </c>
      <c r="E6" s="10" t="n"/>
      <c r="F6" s="10" t="n">
        <v>7</v>
      </c>
      <c r="G6" s="10" t="n">
        <v>7</v>
      </c>
      <c r="H6" s="10" t="n"/>
      <c r="I6" s="10" t="n"/>
      <c r="J6" s="10" t="n">
        <v>7</v>
      </c>
      <c r="K6" s="9">
        <f>ROUND(AVERAGE(C6:J6),1)</f>
        <v/>
      </c>
      <c r="L6" s="9" t="n"/>
      <c r="M6" s="9" t="n"/>
      <c r="N6" s="9" t="n"/>
    </row>
    <row r="7" ht="18.75" customHeight="1">
      <c r="A7" s="10" t="n">
        <v>2</v>
      </c>
      <c r="B7" s="9" t="n"/>
      <c r="C7" s="10" t="n">
        <v>7</v>
      </c>
      <c r="D7" s="10" t="n">
        <v>6</v>
      </c>
      <c r="E7" s="10" t="n"/>
      <c r="F7" s="10" t="n">
        <v>7</v>
      </c>
      <c r="G7" s="10" t="n">
        <v>6</v>
      </c>
      <c r="H7" s="10" t="n">
        <v>7</v>
      </c>
      <c r="I7" s="10" t="n">
        <v>7</v>
      </c>
      <c r="J7" s="10" t="n">
        <v>8</v>
      </c>
      <c r="K7" s="9">
        <f>ROUND(AVERAGE(C7:J7),1)</f>
        <v/>
      </c>
      <c r="L7" s="9" t="n"/>
      <c r="M7" s="9" t="n"/>
      <c r="N7" s="9" t="n"/>
    </row>
    <row r="8" ht="18.75" customHeight="1">
      <c r="A8" s="10" t="n">
        <v>3</v>
      </c>
      <c r="B8" s="9" t="n"/>
      <c r="C8" s="10" t="n">
        <v>8</v>
      </c>
      <c r="D8" s="10" t="n">
        <v>7</v>
      </c>
      <c r="E8" s="10" t="n">
        <v>7</v>
      </c>
      <c r="F8" s="10" t="n">
        <v>8</v>
      </c>
      <c r="G8" s="10" t="n">
        <v>7</v>
      </c>
      <c r="H8" s="10" t="n">
        <v>7</v>
      </c>
      <c r="I8" s="10" t="n">
        <v>6</v>
      </c>
      <c r="J8" s="10" t="n">
        <v>9</v>
      </c>
      <c r="K8" s="9">
        <f>ROUND(AVERAGE(C8:J8),1)</f>
        <v/>
      </c>
      <c r="L8" s="9" t="n"/>
      <c r="M8" s="9" t="n"/>
      <c r="N8" s="9" t="n"/>
    </row>
    <row r="9" ht="18.75" customHeight="1">
      <c r="A9" s="10" t="n">
        <v>4</v>
      </c>
      <c r="B9" s="9" t="n"/>
      <c r="C9" s="10" t="n">
        <v>9</v>
      </c>
      <c r="D9" s="10" t="n">
        <v>8</v>
      </c>
      <c r="E9" s="10" t="n">
        <v>7</v>
      </c>
      <c r="F9" s="10" t="n">
        <v>9</v>
      </c>
      <c r="G9" s="10" t="n">
        <v>8</v>
      </c>
      <c r="H9" s="10" t="n">
        <v>8</v>
      </c>
      <c r="I9" s="10" t="n">
        <v>7</v>
      </c>
      <c r="J9" s="10" t="n">
        <v>8</v>
      </c>
      <c r="K9" s="9">
        <f>ROUND(AVERAGE(C9:J9),1)</f>
        <v/>
      </c>
      <c r="L9" s="9" t="n"/>
      <c r="M9" s="9" t="n"/>
      <c r="N9" s="9" t="n"/>
    </row>
    <row r="10" ht="18.75" customHeight="1">
      <c r="A10" s="10" t="n">
        <v>5</v>
      </c>
      <c r="B10" s="9" t="n"/>
      <c r="C10" s="10" t="n">
        <v>8</v>
      </c>
      <c r="D10" s="10" t="n">
        <v>7</v>
      </c>
      <c r="E10" s="10" t="n">
        <v>8</v>
      </c>
      <c r="F10" s="10" t="n">
        <v>8</v>
      </c>
      <c r="G10" s="10" t="n">
        <v>7</v>
      </c>
      <c r="H10" s="10" t="n">
        <v>9</v>
      </c>
      <c r="I10" s="10" t="n">
        <v>8</v>
      </c>
      <c r="J10" s="10" t="n">
        <v>10</v>
      </c>
      <c r="K10" s="9">
        <f>ROUND(AVERAGE(C10:J10),1)</f>
        <v/>
      </c>
      <c r="L10" s="9" t="n"/>
      <c r="M10" s="9" t="n"/>
      <c r="N10" s="9" t="n"/>
    </row>
    <row r="11" ht="18.75" customHeight="1">
      <c r="A11" s="10" t="n">
        <v>6</v>
      </c>
      <c r="B11" s="9" t="n"/>
      <c r="C11" s="10" t="n">
        <v>10</v>
      </c>
      <c r="D11" s="10" t="n">
        <v>5</v>
      </c>
      <c r="E11" s="10" t="n">
        <v>9</v>
      </c>
      <c r="F11" s="10" t="n">
        <v>10</v>
      </c>
      <c r="G11" s="10" t="n">
        <v>5</v>
      </c>
      <c r="H11" s="10" t="n">
        <v>8</v>
      </c>
      <c r="I11" s="10" t="n">
        <v>7</v>
      </c>
      <c r="J11" s="10" t="n">
        <v>9</v>
      </c>
      <c r="K11" s="9">
        <f>ROUND(AVERAGE(C11:J11),1)</f>
        <v/>
      </c>
      <c r="L11" s="9" t="n"/>
      <c r="M11" s="9" t="n"/>
      <c r="N11" s="9" t="n"/>
    </row>
    <row r="12" ht="18.75" customHeight="1">
      <c r="A12" s="10" t="n">
        <v>7</v>
      </c>
      <c r="B12" s="9" t="n"/>
      <c r="C12" s="10" t="n">
        <v>9</v>
      </c>
      <c r="D12" s="10" t="n">
        <v>7</v>
      </c>
      <c r="E12" s="10" t="n">
        <v>8</v>
      </c>
      <c r="F12" s="10" t="n">
        <v>9</v>
      </c>
      <c r="G12" s="10" t="n">
        <v>7</v>
      </c>
      <c r="H12" s="10" t="n">
        <v>10</v>
      </c>
      <c r="I12" s="10" t="n">
        <v>5</v>
      </c>
      <c r="J12" s="10" t="n">
        <v>6</v>
      </c>
      <c r="K12" s="9">
        <f>ROUND(AVERAGE(C12:J12),1)</f>
        <v/>
      </c>
      <c r="L12" s="9" t="n"/>
      <c r="M12" s="9" t="n"/>
      <c r="N12" s="9" t="n"/>
    </row>
    <row r="13" ht="18.75" customHeight="1">
      <c r="A13" s="10" t="n">
        <v>8</v>
      </c>
      <c r="B13" s="9" t="n"/>
      <c r="C13" s="10" t="n">
        <v>6</v>
      </c>
      <c r="D13" s="10" t="n">
        <v>9</v>
      </c>
      <c r="E13" s="10" t="n">
        <v>10</v>
      </c>
      <c r="F13" s="10" t="n">
        <v>6</v>
      </c>
      <c r="G13" s="10" t="n">
        <v>9</v>
      </c>
      <c r="H13" s="10" t="n">
        <v>9</v>
      </c>
      <c r="I13" s="10" t="n">
        <v>7</v>
      </c>
      <c r="J13" s="10" t="n">
        <v>8</v>
      </c>
      <c r="K13" s="9">
        <f>ROUND(AVERAGE(C13:J13),1)</f>
        <v/>
      </c>
      <c r="L13" s="9" t="n"/>
      <c r="M13" s="9" t="n"/>
      <c r="N13" s="9" t="n"/>
    </row>
    <row r="14" ht="18.75" customHeight="1">
      <c r="A14" s="10" t="n">
        <v>9</v>
      </c>
      <c r="B14" s="9" t="n"/>
      <c r="C14" s="10" t="n">
        <v>8</v>
      </c>
      <c r="D14" s="10" t="n">
        <v>10</v>
      </c>
      <c r="E14" s="10" t="n">
        <v>9</v>
      </c>
      <c r="F14" s="10" t="n">
        <v>8</v>
      </c>
      <c r="G14" s="10" t="n">
        <v>10</v>
      </c>
      <c r="H14" s="10" t="n">
        <v>6</v>
      </c>
      <c r="I14" s="10" t="n">
        <v>9</v>
      </c>
      <c r="J14" s="10" t="n">
        <v>5</v>
      </c>
      <c r="K14" s="9">
        <f>ROUND(AVERAGE(C14:J14),1)</f>
        <v/>
      </c>
      <c r="L14" s="9" t="n"/>
      <c r="M14" s="9" t="n"/>
      <c r="N14" s="9" t="n"/>
    </row>
    <row r="15" ht="18.75" customHeight="1">
      <c r="A15" s="10" t="n">
        <v>10</v>
      </c>
      <c r="B15" s="9" t="n"/>
      <c r="C15" s="10" t="n">
        <v>5</v>
      </c>
      <c r="D15" s="10" t="n">
        <v>10</v>
      </c>
      <c r="E15" s="10" t="n">
        <v>6</v>
      </c>
      <c r="F15" s="10" t="n">
        <v>5</v>
      </c>
      <c r="G15" s="10" t="n">
        <v>10</v>
      </c>
      <c r="H15" s="10" t="n">
        <v>8</v>
      </c>
      <c r="I15" s="10" t="n">
        <v>10</v>
      </c>
      <c r="J15" s="10" t="n">
        <v>8</v>
      </c>
      <c r="K15" s="9">
        <f>ROUND(AVERAGE(C15:J15),1)</f>
        <v/>
      </c>
      <c r="L15" s="9" t="n"/>
      <c r="M15" s="9" t="n"/>
      <c r="N15" s="9" t="n"/>
    </row>
    <row r="16" ht="18.75" customHeight="1">
      <c r="A16" s="10" t="n">
        <v>11</v>
      </c>
      <c r="B16" s="9" t="n"/>
      <c r="C16" s="10" t="n">
        <v>8</v>
      </c>
      <c r="D16" s="10" t="n">
        <v>6</v>
      </c>
      <c r="E16" s="10" t="n">
        <v>8</v>
      </c>
      <c r="F16" s="10" t="n">
        <v>8</v>
      </c>
      <c r="G16" s="10" t="n">
        <v>6</v>
      </c>
      <c r="H16" s="10" t="n">
        <v>5</v>
      </c>
      <c r="I16" s="10" t="n">
        <v>10</v>
      </c>
      <c r="J16" s="10" t="n">
        <v>7</v>
      </c>
      <c r="K16" s="9">
        <f>ROUND(AVERAGE(C16:J16),1)</f>
        <v/>
      </c>
      <c r="L16" s="9" t="n"/>
      <c r="M16" s="9" t="n"/>
      <c r="N16" s="9" t="n"/>
    </row>
    <row r="17" ht="18.75" customHeight="1">
      <c r="A17" s="10" t="n">
        <v>12</v>
      </c>
      <c r="B17" s="9" t="n"/>
      <c r="C17" s="10" t="n">
        <v>7</v>
      </c>
      <c r="D17" s="10" t="n">
        <v>7</v>
      </c>
      <c r="E17" s="10" t="n">
        <v>5</v>
      </c>
      <c r="F17" s="10" t="n">
        <v>7</v>
      </c>
      <c r="G17" s="10" t="n">
        <v>7</v>
      </c>
      <c r="H17" s="10" t="n">
        <v>8</v>
      </c>
      <c r="I17" s="10" t="n">
        <v>6</v>
      </c>
      <c r="J17" s="10" t="n">
        <v>9</v>
      </c>
      <c r="K17" s="9">
        <f>ROUND(AVERAGE(C17:J17),1)</f>
        <v/>
      </c>
      <c r="L17" s="9" t="n"/>
      <c r="M17" s="9" t="n"/>
      <c r="N17" s="9" t="n"/>
    </row>
    <row r="18" ht="18.75" customHeight="1">
      <c r="A18" s="10" t="n">
        <v>13</v>
      </c>
      <c r="B18" s="9" t="n"/>
      <c r="C18" s="10" t="n">
        <v>9</v>
      </c>
      <c r="D18" s="10" t="n">
        <v>9</v>
      </c>
      <c r="E18" s="10" t="n">
        <v>8</v>
      </c>
      <c r="F18" s="10" t="n">
        <v>9</v>
      </c>
      <c r="G18" s="10" t="n">
        <v>9</v>
      </c>
      <c r="H18" s="10" t="n">
        <v>7</v>
      </c>
      <c r="I18" s="10" t="n">
        <v>7</v>
      </c>
      <c r="J18" s="10" t="n">
        <v>6</v>
      </c>
      <c r="K18" s="9">
        <f>ROUND(AVERAGE(C18:J18),1)</f>
        <v/>
      </c>
      <c r="L18" s="9" t="n"/>
      <c r="M18" s="9" t="n"/>
      <c r="N18" s="9" t="n"/>
    </row>
    <row r="19" ht="18.75" customHeight="1">
      <c r="A19" s="10" t="n">
        <v>14</v>
      </c>
      <c r="B19" s="9" t="n"/>
      <c r="C19" s="10" t="n">
        <v>6</v>
      </c>
      <c r="D19" s="10" t="n">
        <v>7</v>
      </c>
      <c r="E19" s="10" t="n">
        <v>7</v>
      </c>
      <c r="F19" s="10" t="n">
        <v>6</v>
      </c>
      <c r="G19" s="10" t="n">
        <v>7</v>
      </c>
      <c r="H19" s="10" t="n">
        <v>9</v>
      </c>
      <c r="I19" s="10" t="n">
        <v>9</v>
      </c>
      <c r="J19" s="10" t="n">
        <v>9</v>
      </c>
      <c r="K19" s="9">
        <f>ROUND(AVERAGE(C19:J19),1)</f>
        <v/>
      </c>
      <c r="L19" s="9" t="n"/>
      <c r="M19" s="9" t="n"/>
      <c r="N19" s="9" t="n"/>
    </row>
    <row r="20" ht="18.75" customHeight="1">
      <c r="A20" s="10" t="n">
        <v>15</v>
      </c>
      <c r="B20" s="9" t="n"/>
      <c r="C20" s="10" t="n"/>
      <c r="D20" s="10" t="n">
        <v>8</v>
      </c>
      <c r="E20" s="10" t="n">
        <v>9</v>
      </c>
      <c r="F20" s="10" t="n">
        <v>9</v>
      </c>
      <c r="G20" s="11" t="n"/>
      <c r="H20" s="12" t="n"/>
      <c r="I20" s="12" t="n">
        <v>6</v>
      </c>
      <c r="J20" s="10" t="n">
        <v>7</v>
      </c>
      <c r="K20" s="9">
        <f>ROUND(AVERAGE(C20:J20),1)</f>
        <v/>
      </c>
      <c r="L20" s="9" t="n"/>
      <c r="M20" s="9" t="n"/>
      <c r="N20" s="9" t="n"/>
    </row>
    <row r="21" ht="18.75" customHeight="1">
      <c r="A21" s="10" t="n">
        <v>16</v>
      </c>
      <c r="B21" s="9" t="n"/>
      <c r="C21" s="10" t="n"/>
      <c r="D21" s="10" t="n"/>
      <c r="E21" s="10" t="n">
        <v>6</v>
      </c>
      <c r="F21" s="10" t="n">
        <v>7</v>
      </c>
      <c r="G21" s="13" t="n">
        <v>7</v>
      </c>
      <c r="H21" s="14" t="n">
        <v>7</v>
      </c>
      <c r="I21" s="14" t="n">
        <v>6</v>
      </c>
      <c r="J21" s="10" t="n">
        <v>9</v>
      </c>
      <c r="K21" s="9">
        <f>ROUND(AVERAGE(C21:J21),1)</f>
        <v/>
      </c>
      <c r="L21" s="9" t="n"/>
      <c r="M21" s="9" t="n"/>
      <c r="N21" s="9" t="n"/>
    </row>
    <row r="22" ht="18.75" customHeight="1">
      <c r="A22" s="10" t="n">
        <v>17</v>
      </c>
      <c r="B22" s="9" t="n"/>
      <c r="C22" s="10" t="n">
        <v>7</v>
      </c>
      <c r="D22" s="10" t="n">
        <v>7</v>
      </c>
      <c r="E22" s="10" t="n">
        <v>6</v>
      </c>
      <c r="F22" s="10" t="n">
        <v>9</v>
      </c>
      <c r="G22" s="13" t="n">
        <v>7</v>
      </c>
      <c r="H22" s="14" t="n">
        <v>6</v>
      </c>
      <c r="I22" s="14" t="n">
        <v>8</v>
      </c>
      <c r="J22" s="10" t="n">
        <v>10</v>
      </c>
      <c r="K22" s="9">
        <f>ROUND(AVERAGE(C22:J22),1)</f>
        <v/>
      </c>
      <c r="L22" s="9" t="n"/>
      <c r="M22" s="9" t="n"/>
      <c r="N22" s="9" t="n"/>
    </row>
    <row r="23" ht="18.75" customHeight="1">
      <c r="A23" s="10" t="n">
        <v>18</v>
      </c>
      <c r="B23" s="9" t="n"/>
      <c r="C23" s="10" t="n">
        <v>7</v>
      </c>
      <c r="D23" s="10" t="n">
        <v>6</v>
      </c>
      <c r="E23" s="10" t="n">
        <v>8</v>
      </c>
      <c r="F23" s="10" t="n">
        <v>10</v>
      </c>
      <c r="G23" s="13" t="n">
        <v>8</v>
      </c>
      <c r="H23" s="14" t="n">
        <v>7</v>
      </c>
      <c r="I23" s="14" t="n">
        <v>5</v>
      </c>
      <c r="J23" s="10" t="n">
        <v>10</v>
      </c>
      <c r="K23" s="9">
        <f>ROUND(AVERAGE(C23:J23),1)</f>
        <v/>
      </c>
      <c r="L23" s="9" t="n"/>
      <c r="M23" s="9" t="n"/>
      <c r="N23" s="9" t="n"/>
    </row>
    <row r="24" ht="18.75" customHeight="1">
      <c r="A24" s="10" t="n">
        <v>19</v>
      </c>
      <c r="B24" s="9" t="n"/>
      <c r="C24" s="10" t="n">
        <v>8</v>
      </c>
      <c r="D24" s="10" t="n">
        <v>7</v>
      </c>
      <c r="E24" s="10" t="n">
        <v>5</v>
      </c>
      <c r="F24" s="10" t="n">
        <v>10</v>
      </c>
      <c r="G24" s="13" t="n">
        <v>9</v>
      </c>
      <c r="H24" s="14" t="n">
        <v>8</v>
      </c>
      <c r="I24" s="14" t="n">
        <v>8</v>
      </c>
      <c r="J24" s="10" t="n">
        <v>6</v>
      </c>
      <c r="K24" s="9">
        <f>ROUND(AVERAGE(C24:J24),1)</f>
        <v/>
      </c>
      <c r="L24" s="9" t="n"/>
      <c r="M24" s="9" t="n"/>
      <c r="N24" s="9" t="n"/>
    </row>
    <row r="25" ht="18.75" customHeight="1">
      <c r="A25" s="10" t="n">
        <v>20</v>
      </c>
      <c r="B25" s="9" t="n"/>
      <c r="C25" s="10" t="n">
        <v>9</v>
      </c>
      <c r="D25" s="10" t="n">
        <v>8</v>
      </c>
      <c r="E25" s="10" t="n">
        <v>8</v>
      </c>
      <c r="F25" s="10" t="n">
        <v>6</v>
      </c>
      <c r="G25" s="13" t="n">
        <v>8</v>
      </c>
      <c r="H25" s="14" t="n">
        <v>7</v>
      </c>
      <c r="I25" s="14" t="n">
        <v>7</v>
      </c>
      <c r="J25" s="10" t="n">
        <v>7</v>
      </c>
      <c r="K25" s="9">
        <f>ROUND(AVERAGE(C25:J25),1)</f>
        <v/>
      </c>
      <c r="L25" s="9" t="n"/>
      <c r="M25" s="9" t="n"/>
      <c r="N25" s="9" t="n"/>
    </row>
    <row r="26" ht="18.75" customHeight="1">
      <c r="A26" s="10" t="n">
        <v>21</v>
      </c>
      <c r="B26" s="9" t="n"/>
      <c r="C26" s="10" t="n">
        <v>8</v>
      </c>
      <c r="D26" s="10" t="n">
        <v>7</v>
      </c>
      <c r="E26" s="10" t="n">
        <v>8</v>
      </c>
      <c r="F26" s="10" t="n">
        <v>7</v>
      </c>
      <c r="G26" s="13" t="n">
        <v>10</v>
      </c>
      <c r="H26" s="14" t="n">
        <v>5</v>
      </c>
      <c r="I26" s="14" t="n">
        <v>9</v>
      </c>
      <c r="J26" s="10" t="n">
        <v>9</v>
      </c>
      <c r="K26" s="9">
        <f>ROUND(AVERAGE(C26:J26),1)</f>
        <v/>
      </c>
      <c r="L26" s="9" t="n"/>
      <c r="M26" s="9" t="n"/>
      <c r="N26" s="9" t="n"/>
    </row>
    <row r="27" ht="18.75" customHeight="1">
      <c r="A27" s="10" t="n">
        <v>22</v>
      </c>
      <c r="B27" s="9" t="n"/>
      <c r="C27" s="10" t="n">
        <v>10</v>
      </c>
      <c r="D27" s="10" t="n">
        <v>5</v>
      </c>
      <c r="E27" s="10" t="n">
        <v>7</v>
      </c>
      <c r="F27" s="10" t="n">
        <v>9</v>
      </c>
      <c r="G27" s="13" t="n">
        <v>9</v>
      </c>
      <c r="H27" s="14" t="n">
        <v>7</v>
      </c>
      <c r="I27" s="14" t="n">
        <v>6</v>
      </c>
      <c r="J27" s="10" t="n">
        <v>7</v>
      </c>
      <c r="K27" s="9">
        <f>ROUND(AVERAGE(C27:J27),1)</f>
        <v/>
      </c>
      <c r="L27" s="9" t="n"/>
      <c r="M27" s="9" t="n"/>
      <c r="N27" s="9" t="n"/>
    </row>
    <row r="28" ht="18.75" customHeight="1">
      <c r="A28" s="10" t="n">
        <v>23</v>
      </c>
      <c r="B28" s="9" t="n"/>
      <c r="C28" s="10" t="n">
        <v>9</v>
      </c>
      <c r="D28" s="10" t="n">
        <v>7</v>
      </c>
      <c r="E28" s="10" t="n">
        <v>9</v>
      </c>
      <c r="F28" s="10" t="n">
        <v>7</v>
      </c>
      <c r="G28" s="10" t="n"/>
      <c r="H28" s="10" t="n"/>
      <c r="I28" s="10" t="n"/>
      <c r="J28" s="11" t="n"/>
      <c r="K28" s="9">
        <f>ROUND(AVERAGE(C28:J28),1)</f>
        <v/>
      </c>
      <c r="L28" s="9" t="n"/>
      <c r="M28" s="9" t="n"/>
      <c r="N28" s="9" t="n"/>
    </row>
    <row r="29" ht="18.75" customHeight="1">
      <c r="A29" s="10" t="n">
        <v>24</v>
      </c>
      <c r="B29" s="9" t="n"/>
      <c r="C29" s="10" t="n">
        <v>6</v>
      </c>
      <c r="D29" s="10" t="n">
        <v>9</v>
      </c>
      <c r="E29" s="10" t="n">
        <v>6</v>
      </c>
      <c r="F29" s="11" t="n"/>
      <c r="G29" s="12" t="n"/>
      <c r="H29" s="12" t="n">
        <v>6</v>
      </c>
      <c r="I29" s="12" t="n">
        <v>7</v>
      </c>
      <c r="J29" s="13" t="n">
        <v>7</v>
      </c>
      <c r="K29" s="9">
        <f>ROUND(AVERAGE(C29:J29),1)</f>
        <v/>
      </c>
      <c r="L29" s="9" t="n"/>
      <c r="M29" s="9" t="n"/>
      <c r="N29" s="9" t="n"/>
    </row>
    <row r="30" ht="18.75" customHeight="1">
      <c r="A30" s="10" t="n">
        <v>25</v>
      </c>
      <c r="B30" s="9" t="n"/>
      <c r="C30" s="10" t="n">
        <v>8</v>
      </c>
      <c r="D30" s="10" t="n">
        <v>10</v>
      </c>
      <c r="E30" s="10" t="n">
        <v>9</v>
      </c>
      <c r="F30" s="13" t="n">
        <v>7</v>
      </c>
      <c r="G30" s="14" t="n">
        <v>7</v>
      </c>
      <c r="H30" s="14" t="n">
        <v>6</v>
      </c>
      <c r="I30" s="14" t="n">
        <v>9</v>
      </c>
      <c r="J30" s="13" t="n">
        <v>7</v>
      </c>
      <c r="K30" s="9">
        <f>ROUND(AVERAGE(C30:J30),1)</f>
        <v/>
      </c>
      <c r="L30" s="9" t="n"/>
      <c r="M30" s="9" t="n"/>
      <c r="N30" s="9" t="n"/>
    </row>
    <row r="31" ht="18.75" customHeight="1">
      <c r="A31" s="10" t="n">
        <v>26</v>
      </c>
      <c r="B31" s="9" t="n"/>
      <c r="C31" s="10" t="n">
        <v>5</v>
      </c>
      <c r="D31" s="10" t="n">
        <v>10</v>
      </c>
      <c r="E31" s="10" t="n">
        <v>7</v>
      </c>
      <c r="F31" s="13" t="n">
        <v>7</v>
      </c>
      <c r="G31" s="14" t="n">
        <v>6</v>
      </c>
      <c r="H31" s="14" t="n">
        <v>8</v>
      </c>
      <c r="I31" s="14" t="n">
        <v>10</v>
      </c>
      <c r="J31" s="13" t="n">
        <v>8</v>
      </c>
      <c r="K31" s="9">
        <f>ROUND(AVERAGE(C31:J31),1)</f>
        <v/>
      </c>
      <c r="L31" s="9" t="n"/>
      <c r="M31" s="9" t="n"/>
      <c r="N31" s="9" t="n"/>
    </row>
    <row r="32" ht="18.75" customHeight="1">
      <c r="A32" s="10" t="n">
        <v>27</v>
      </c>
      <c r="B32" s="9" t="n"/>
      <c r="C32" s="10" t="n">
        <v>8</v>
      </c>
      <c r="D32" s="10" t="n">
        <v>6</v>
      </c>
      <c r="E32" s="10" t="n">
        <v>9</v>
      </c>
      <c r="F32" s="13" t="n">
        <v>8</v>
      </c>
      <c r="G32" s="14" t="n">
        <v>7</v>
      </c>
      <c r="H32" s="14" t="n">
        <v>5</v>
      </c>
      <c r="I32" s="14" t="n">
        <v>10</v>
      </c>
      <c r="J32" s="13" t="n">
        <v>9</v>
      </c>
      <c r="K32" s="9">
        <f>ROUND(AVERAGE(C32:J32),1)</f>
        <v/>
      </c>
      <c r="L32" s="9" t="n"/>
      <c r="M32" s="9" t="n"/>
      <c r="N32" s="9" t="n"/>
    </row>
    <row r="33" ht="18.75" customHeight="1">
      <c r="A33" s="10" t="n">
        <v>28</v>
      </c>
      <c r="B33" s="9" t="n"/>
      <c r="C33" s="10" t="n">
        <v>7</v>
      </c>
      <c r="D33" s="10" t="n">
        <v>7</v>
      </c>
      <c r="E33" s="10" t="n">
        <v>10</v>
      </c>
      <c r="F33" s="13" t="n">
        <v>9</v>
      </c>
      <c r="G33" s="14" t="n">
        <v>8</v>
      </c>
      <c r="H33" s="14" t="n">
        <v>8</v>
      </c>
      <c r="I33" s="14" t="n">
        <v>6</v>
      </c>
      <c r="J33" s="13" t="n">
        <v>8</v>
      </c>
      <c r="K33" s="9">
        <f>ROUND(AVERAGE(C33:J33),1)</f>
        <v/>
      </c>
      <c r="L33" s="9" t="n"/>
      <c r="M33" s="9" t="n"/>
      <c r="N33" s="9" t="n"/>
    </row>
    <row r="34" ht="18.75" customHeight="1">
      <c r="A34" s="10" t="n">
        <v>29</v>
      </c>
      <c r="B34" s="9" t="n"/>
      <c r="C34" s="10" t="n">
        <v>9</v>
      </c>
      <c r="D34" s="10" t="n">
        <v>9</v>
      </c>
      <c r="E34" s="10" t="n">
        <v>10</v>
      </c>
      <c r="F34" s="13" t="n">
        <v>8</v>
      </c>
      <c r="G34" s="14" t="n">
        <v>7</v>
      </c>
      <c r="H34" s="14" t="n">
        <v>7</v>
      </c>
      <c r="I34" s="14" t="n">
        <v>7</v>
      </c>
      <c r="J34" s="13" t="n">
        <v>10</v>
      </c>
      <c r="K34" s="9">
        <f>ROUND(AVERAGE(C34:J34),1)</f>
        <v/>
      </c>
      <c r="L34" s="9" t="n"/>
      <c r="M34" s="9" t="n"/>
      <c r="N34" s="9" t="n"/>
    </row>
    <row r="35" ht="18.75" customHeight="1">
      <c r="A35" s="10" t="n">
        <v>30</v>
      </c>
      <c r="B35" s="9" t="n"/>
      <c r="C35" s="10" t="n">
        <v>6</v>
      </c>
      <c r="D35" s="10" t="n">
        <v>7</v>
      </c>
      <c r="E35" s="10" t="n">
        <v>6</v>
      </c>
      <c r="F35" s="13" t="n">
        <v>10</v>
      </c>
      <c r="G35" s="14" t="n">
        <v>5</v>
      </c>
      <c r="H35" s="14" t="n">
        <v>9</v>
      </c>
      <c r="I35" s="14" t="n">
        <v>9</v>
      </c>
      <c r="J35" s="13" t="n">
        <v>9</v>
      </c>
      <c r="K35" s="9">
        <f>ROUND(AVERAGE(C35:J35),1)</f>
        <v/>
      </c>
      <c r="L35" s="9" t="n"/>
      <c r="M35" s="9" t="n"/>
      <c r="N35" s="9" t="n"/>
    </row>
    <row r="36" ht="18.75" customHeight="1">
      <c r="A36" s="10" t="n">
        <v>31</v>
      </c>
      <c r="B36" s="9" t="n"/>
      <c r="C36" s="10" t="n">
        <v>7</v>
      </c>
      <c r="D36" s="10" t="n">
        <v>7</v>
      </c>
      <c r="E36" s="10" t="n">
        <v>7</v>
      </c>
      <c r="F36" s="13" t="n">
        <v>9</v>
      </c>
      <c r="G36" s="14" t="n">
        <v>7</v>
      </c>
      <c r="H36" s="14" t="n">
        <v>6</v>
      </c>
      <c r="I36" s="14" t="n">
        <v>7</v>
      </c>
      <c r="J36" s="10" t="n">
        <v>7</v>
      </c>
      <c r="K36" s="9">
        <f>ROUND(AVERAGE(C36:J36),1)</f>
        <v/>
      </c>
      <c r="L36" s="9" t="n"/>
      <c r="M36" s="9" t="n"/>
      <c r="N36" s="9" t="n"/>
    </row>
    <row r="37" ht="18.75" customHeight="1">
      <c r="A37" s="10" t="n">
        <v>32</v>
      </c>
      <c r="B37" s="9" t="n"/>
      <c r="C37" s="10" t="n">
        <v>7</v>
      </c>
      <c r="D37" s="10" t="n">
        <v>6</v>
      </c>
      <c r="E37" s="10" t="n"/>
      <c r="F37" s="10" t="n">
        <v>7</v>
      </c>
      <c r="G37" s="10" t="n">
        <v>6</v>
      </c>
      <c r="H37" s="10" t="n">
        <v>7</v>
      </c>
      <c r="I37" s="10" t="n">
        <v>7</v>
      </c>
      <c r="J37" s="10" t="n">
        <v>8</v>
      </c>
      <c r="K37" s="9">
        <f>ROUND(AVERAGE(C37:J37),1)</f>
        <v/>
      </c>
      <c r="L37" s="9" t="n"/>
      <c r="M37" s="9" t="n"/>
      <c r="N37" s="9" t="n"/>
    </row>
    <row r="38" ht="18.75" customHeight="1">
      <c r="A38" s="10" t="n">
        <v>33</v>
      </c>
      <c r="B38" s="9" t="n"/>
      <c r="C38" s="10" t="n">
        <v>8</v>
      </c>
      <c r="D38" s="10" t="n">
        <v>7</v>
      </c>
      <c r="E38" s="10" t="n">
        <v>7</v>
      </c>
      <c r="F38" s="10" t="n">
        <v>8</v>
      </c>
      <c r="G38" s="10" t="n">
        <v>7</v>
      </c>
      <c r="H38" s="10" t="n">
        <v>7</v>
      </c>
      <c r="I38" s="10" t="n">
        <v>6</v>
      </c>
      <c r="J38" s="10" t="n">
        <v>9</v>
      </c>
      <c r="K38" s="9">
        <f>ROUND(AVERAGE(C38:J38),1)</f>
        <v/>
      </c>
      <c r="L38" s="9" t="n"/>
      <c r="M38" s="9" t="n"/>
      <c r="N38" s="9" t="n"/>
    </row>
    <row r="39" ht="18.75" customHeight="1">
      <c r="A39" s="10" t="n">
        <v>34</v>
      </c>
      <c r="B39" s="9" t="n"/>
      <c r="C39" s="10" t="n">
        <v>9</v>
      </c>
      <c r="D39" s="10" t="n">
        <v>8</v>
      </c>
      <c r="E39" s="10" t="n">
        <v>7</v>
      </c>
      <c r="F39" s="10" t="n">
        <v>9</v>
      </c>
      <c r="G39" s="10" t="n">
        <v>8</v>
      </c>
      <c r="H39" s="10" t="n">
        <v>8</v>
      </c>
      <c r="I39" s="10" t="n">
        <v>7</v>
      </c>
      <c r="J39" s="10" t="n">
        <v>8</v>
      </c>
      <c r="K39" s="9">
        <f>ROUND(AVERAGE(C39:J39),1)</f>
        <v/>
      </c>
      <c r="L39" s="9" t="n"/>
      <c r="M39" s="9" t="n"/>
      <c r="N39" s="9" t="n"/>
    </row>
    <row r="40" ht="18.75" customHeight="1">
      <c r="A40" s="10" t="n">
        <v>35</v>
      </c>
      <c r="B40" s="9" t="n"/>
      <c r="C40" s="10" t="n">
        <v>8</v>
      </c>
      <c r="D40" s="10" t="n">
        <v>7</v>
      </c>
      <c r="E40" s="10" t="n">
        <v>8</v>
      </c>
      <c r="F40" s="10" t="n">
        <v>8</v>
      </c>
      <c r="G40" s="10" t="n">
        <v>7</v>
      </c>
      <c r="H40" s="10" t="n">
        <v>9</v>
      </c>
      <c r="I40" s="10" t="n">
        <v>8</v>
      </c>
      <c r="J40" s="10" t="n">
        <v>10</v>
      </c>
      <c r="K40" s="9">
        <f>ROUND(AVERAGE(C40:J40),1)</f>
        <v/>
      </c>
      <c r="L40" s="9" t="n"/>
      <c r="M40" s="9" t="n"/>
      <c r="N40" s="9" t="n"/>
    </row>
    <row r="41" ht="18.75" customHeight="1">
      <c r="A41" s="10" t="n">
        <v>36</v>
      </c>
      <c r="B41" s="9" t="n"/>
      <c r="C41" s="10" t="n">
        <v>10</v>
      </c>
      <c r="D41" s="10" t="n">
        <v>5</v>
      </c>
      <c r="E41" s="10" t="n">
        <v>9</v>
      </c>
      <c r="F41" s="10" t="n">
        <v>10</v>
      </c>
      <c r="G41" s="10" t="n">
        <v>5</v>
      </c>
      <c r="H41" s="10" t="n">
        <v>8</v>
      </c>
      <c r="I41" s="10" t="n">
        <v>7</v>
      </c>
      <c r="J41" s="10" t="n">
        <v>9</v>
      </c>
      <c r="K41" s="9">
        <f>ROUND(AVERAGE(C41:J41),1)</f>
        <v/>
      </c>
      <c r="L41" s="9" t="n"/>
      <c r="M41" s="9" t="n"/>
      <c r="N41" s="9" t="n"/>
    </row>
    <row r="42" ht="18.75" customHeight="1">
      <c r="A42" s="10" t="n">
        <v>37</v>
      </c>
      <c r="B42" s="9" t="n"/>
      <c r="C42" s="10" t="n">
        <v>9</v>
      </c>
      <c r="D42" s="10" t="n">
        <v>7</v>
      </c>
      <c r="E42" s="10" t="n">
        <v>8</v>
      </c>
      <c r="F42" s="10" t="n">
        <v>9</v>
      </c>
      <c r="G42" s="10" t="n">
        <v>7</v>
      </c>
      <c r="H42" s="10" t="n">
        <v>10</v>
      </c>
      <c r="I42" s="10" t="n">
        <v>5</v>
      </c>
      <c r="J42" s="10" t="n">
        <v>6</v>
      </c>
      <c r="K42" s="9">
        <f>ROUND(AVERAGE(C42:J42),1)</f>
        <v/>
      </c>
      <c r="L42" s="9" t="n"/>
      <c r="M42" s="9" t="n"/>
      <c r="N42" s="9" t="n"/>
    </row>
    <row r="43" ht="18.75" customHeight="1">
      <c r="A43" s="10" t="n">
        <v>38</v>
      </c>
      <c r="B43" s="9" t="n"/>
      <c r="C43" s="10" t="n">
        <v>6</v>
      </c>
      <c r="D43" s="10" t="n">
        <v>9</v>
      </c>
      <c r="E43" s="10" t="n">
        <v>10</v>
      </c>
      <c r="F43" s="10" t="n">
        <v>6</v>
      </c>
      <c r="G43" s="10" t="n">
        <v>9</v>
      </c>
      <c r="H43" s="10" t="n">
        <v>9</v>
      </c>
      <c r="I43" s="10" t="n">
        <v>7</v>
      </c>
      <c r="J43" s="10" t="n">
        <v>8</v>
      </c>
      <c r="K43" s="9">
        <f>ROUND(AVERAGE(C43:J43),1)</f>
        <v/>
      </c>
      <c r="L43" s="9" t="n"/>
      <c r="M43" s="9" t="n"/>
      <c r="N43" s="9" t="n"/>
    </row>
    <row r="44" ht="18.75" customHeight="1">
      <c r="A44" s="10" t="n">
        <v>39</v>
      </c>
      <c r="B44" s="9" t="n"/>
      <c r="C44" s="10" t="n">
        <v>8</v>
      </c>
      <c r="D44" s="10" t="n">
        <v>10</v>
      </c>
      <c r="E44" s="10" t="n">
        <v>9</v>
      </c>
      <c r="F44" s="10" t="n">
        <v>8</v>
      </c>
      <c r="G44" s="10" t="n">
        <v>10</v>
      </c>
      <c r="H44" s="10" t="n">
        <v>6</v>
      </c>
      <c r="I44" s="10" t="n">
        <v>9</v>
      </c>
      <c r="J44" s="10" t="n">
        <v>5</v>
      </c>
      <c r="K44" s="9">
        <f>ROUND(AVERAGE(C44:J44),1)</f>
        <v/>
      </c>
      <c r="L44" s="9" t="n"/>
      <c r="M44" s="9" t="n"/>
      <c r="N44" s="9" t="n"/>
    </row>
    <row r="45" ht="18.75" customHeight="1">
      <c r="A45" s="10" t="n">
        <v>40</v>
      </c>
      <c r="B45" s="9" t="n"/>
      <c r="C45" s="10" t="n">
        <v>5</v>
      </c>
      <c r="D45" s="10" t="n">
        <v>10</v>
      </c>
      <c r="E45" s="10" t="n">
        <v>6</v>
      </c>
      <c r="F45" s="10" t="n">
        <v>5</v>
      </c>
      <c r="G45" s="10" t="n">
        <v>10</v>
      </c>
      <c r="H45" s="10" t="n">
        <v>8</v>
      </c>
      <c r="I45" s="10" t="n">
        <v>10</v>
      </c>
      <c r="J45" s="10" t="n">
        <v>8</v>
      </c>
      <c r="K45" s="9">
        <f>ROUND(AVERAGE(C45:J45),1)</f>
        <v/>
      </c>
      <c r="L45" s="9" t="n"/>
      <c r="M45" s="9" t="n"/>
      <c r="N45" s="9" t="n"/>
    </row>
    <row r="46" ht="18.75" customHeight="1">
      <c r="A46" s="10" t="n">
        <v>41</v>
      </c>
      <c r="B46" s="9" t="n"/>
      <c r="C46" s="10" t="n">
        <v>8</v>
      </c>
      <c r="D46" s="10" t="n">
        <v>6</v>
      </c>
      <c r="E46" s="10" t="n">
        <v>8</v>
      </c>
      <c r="F46" s="10" t="n">
        <v>8</v>
      </c>
      <c r="G46" s="10" t="n">
        <v>6</v>
      </c>
      <c r="H46" s="10" t="n">
        <v>5</v>
      </c>
      <c r="I46" s="10" t="n">
        <v>10</v>
      </c>
      <c r="J46" s="10" t="n">
        <v>7</v>
      </c>
      <c r="K46" s="9">
        <f>ROUND(AVERAGE(C46:J46),1)</f>
        <v/>
      </c>
      <c r="L46" s="9" t="n"/>
      <c r="M46" s="9" t="n"/>
      <c r="N46" s="9" t="n"/>
    </row>
    <row r="47" ht="20.25" customHeight="1">
      <c r="A47" s="10" t="n">
        <v>42</v>
      </c>
      <c r="B47" s="9" t="n"/>
      <c r="C47" s="10" t="n">
        <v>7</v>
      </c>
      <c r="D47" s="10" t="n">
        <v>7</v>
      </c>
      <c r="E47" s="10" t="n">
        <v>5</v>
      </c>
      <c r="F47" s="10" t="n">
        <v>7</v>
      </c>
      <c r="G47" s="10" t="n">
        <v>7</v>
      </c>
      <c r="H47" s="10" t="n">
        <v>8</v>
      </c>
      <c r="I47" s="10" t="n">
        <v>6</v>
      </c>
      <c r="J47" s="12" t="n">
        <v>7</v>
      </c>
      <c r="K47" s="9">
        <f>ROUND(AVERAGE(C47:J47),1)</f>
        <v/>
      </c>
      <c r="L47" s="9" t="n"/>
      <c r="M47" s="9" t="n"/>
      <c r="N47" s="9" t="n"/>
    </row>
    <row r="48" ht="20.25" customHeight="1">
      <c r="A48" s="10" t="n">
        <v>43</v>
      </c>
      <c r="B48" s="9" t="n"/>
      <c r="C48" s="11" t="n"/>
      <c r="D48" s="12" t="n"/>
      <c r="E48" s="12" t="n">
        <v>6</v>
      </c>
      <c r="F48" s="12" t="n">
        <v>7</v>
      </c>
      <c r="G48" s="10" t="n">
        <v>9</v>
      </c>
      <c r="H48" s="10" t="n">
        <v>7</v>
      </c>
      <c r="I48" s="10" t="n">
        <v>7</v>
      </c>
      <c r="J48" s="14" t="n">
        <v>9</v>
      </c>
      <c r="K48" s="9">
        <f>ROUND(AVERAGE(C48:J48),1)</f>
        <v/>
      </c>
      <c r="L48" s="9" t="n"/>
      <c r="M48" s="9" t="n"/>
      <c r="N48" s="9" t="n"/>
    </row>
    <row r="49" ht="19.5" customHeight="1">
      <c r="A49" s="10" t="n">
        <v>44</v>
      </c>
      <c r="B49" s="9" t="n"/>
      <c r="C49" s="13" t="n">
        <v>7</v>
      </c>
      <c r="D49" s="14" t="n">
        <v>7</v>
      </c>
      <c r="E49" s="14" t="n">
        <v>6</v>
      </c>
      <c r="F49" s="14" t="n">
        <v>9</v>
      </c>
      <c r="G49" s="10" t="n">
        <v>10</v>
      </c>
      <c r="H49" s="10" t="n">
        <v>6</v>
      </c>
      <c r="I49" s="10" t="n">
        <v>9</v>
      </c>
      <c r="J49" s="10" t="n">
        <v>5</v>
      </c>
      <c r="K49" s="9">
        <f>ROUND(AVERAGE(C49:J49),1)</f>
        <v/>
      </c>
      <c r="L49" s="9" t="n"/>
      <c r="M49" s="9" t="n"/>
      <c r="N49" s="9" t="n"/>
    </row>
    <row r="50" ht="19.5" customHeight="1">
      <c r="A50" s="10" t="n">
        <v>45</v>
      </c>
      <c r="B50" s="9" t="n"/>
      <c r="C50" s="13" t="n">
        <v>7</v>
      </c>
      <c r="D50" s="14" t="n">
        <v>6</v>
      </c>
      <c r="E50" s="14" t="n">
        <v>8</v>
      </c>
      <c r="F50" s="14" t="n">
        <v>10</v>
      </c>
      <c r="G50" s="10" t="n">
        <v>10</v>
      </c>
      <c r="H50" s="10" t="n">
        <v>8</v>
      </c>
      <c r="I50" s="10" t="n">
        <v>10</v>
      </c>
      <c r="J50" s="10" t="n">
        <v>8</v>
      </c>
      <c r="K50" s="9">
        <f>ROUND(AVERAGE(C50:J50),1)</f>
        <v/>
      </c>
      <c r="L50" s="9" t="n"/>
      <c r="M50" s="9" t="n"/>
      <c r="N50" s="9" t="n"/>
    </row>
    <row r="51" ht="19.5" customHeight="1">
      <c r="A51" s="10" t="n">
        <v>46</v>
      </c>
      <c r="B51" s="9" t="n"/>
      <c r="C51" s="13" t="n">
        <v>8</v>
      </c>
      <c r="D51" s="14" t="n">
        <v>7</v>
      </c>
      <c r="E51" s="14" t="n">
        <v>5</v>
      </c>
      <c r="F51" s="14" t="n">
        <v>10</v>
      </c>
      <c r="G51" s="10" t="n">
        <v>6</v>
      </c>
      <c r="H51" s="10" t="n">
        <v>5</v>
      </c>
      <c r="I51" s="10" t="n">
        <v>10</v>
      </c>
      <c r="J51" s="10" t="n">
        <v>7</v>
      </c>
      <c r="K51" s="9">
        <f>ROUND(AVERAGE(C51:J51),1)</f>
        <v/>
      </c>
      <c r="L51" s="9" t="n"/>
      <c r="M51" s="9" t="n"/>
      <c r="N51" s="9" t="n"/>
    </row>
    <row r="52" ht="20.25" customHeight="1">
      <c r="A52" s="10" t="n">
        <v>47</v>
      </c>
      <c r="B52" s="9" t="n"/>
      <c r="C52" s="13" t="n">
        <v>9</v>
      </c>
      <c r="D52" s="14" t="n">
        <v>8</v>
      </c>
      <c r="E52" s="14" t="n">
        <v>8</v>
      </c>
      <c r="F52" s="14" t="n">
        <v>6</v>
      </c>
      <c r="G52" s="10" t="n">
        <v>7</v>
      </c>
      <c r="H52" s="10" t="n">
        <v>8</v>
      </c>
      <c r="I52" s="10" t="n">
        <v>6</v>
      </c>
      <c r="J52" s="12" t="n">
        <v>7</v>
      </c>
      <c r="K52" s="9">
        <f>ROUND(AVERAGE(C52:J52),1)</f>
        <v/>
      </c>
      <c r="L52" s="9" t="n"/>
      <c r="M52" s="9" t="n"/>
      <c r="N52" s="9" t="n"/>
    </row>
    <row r="53" ht="19.5" customHeight="1">
      <c r="A53" s="10" t="n">
        <v>48</v>
      </c>
      <c r="B53" s="9" t="n"/>
      <c r="C53" s="13" t="n">
        <v>8</v>
      </c>
      <c r="D53" s="14" t="n">
        <v>7</v>
      </c>
      <c r="E53" s="14" t="n">
        <v>7</v>
      </c>
      <c r="F53" s="14" t="n">
        <v>7</v>
      </c>
      <c r="G53" s="10" t="n">
        <v>9</v>
      </c>
      <c r="H53" s="10" t="n">
        <v>7</v>
      </c>
      <c r="I53" s="10" t="n">
        <v>7</v>
      </c>
      <c r="J53" s="14" t="n">
        <v>9</v>
      </c>
      <c r="K53" s="9">
        <f>ROUND(AVERAGE(C53:J53),1)</f>
        <v/>
      </c>
      <c r="L53" s="9" t="n"/>
      <c r="M53" s="9" t="n"/>
      <c r="N53" s="9" t="n"/>
    </row>
    <row r="54" ht="19.5" customHeight="1">
      <c r="A54" s="10" t="n">
        <v>49</v>
      </c>
      <c r="B54" s="9" t="n"/>
      <c r="C54" s="13" t="n">
        <v>10</v>
      </c>
      <c r="D54" s="14" t="n">
        <v>5</v>
      </c>
      <c r="E54" s="14" t="n">
        <v>9</v>
      </c>
      <c r="F54" s="14" t="n">
        <v>9</v>
      </c>
      <c r="G54" s="10" t="n">
        <v>7</v>
      </c>
      <c r="H54" s="10" t="n">
        <v>9</v>
      </c>
      <c r="I54" s="10" t="n">
        <v>9</v>
      </c>
      <c r="J54" s="14" t="n">
        <v>10</v>
      </c>
      <c r="K54" s="9">
        <f>ROUND(AVERAGE(C54:J54),1)</f>
        <v/>
      </c>
      <c r="L54" s="9" t="n"/>
      <c r="M54" s="9" t="n"/>
      <c r="N54" s="9" t="n"/>
    </row>
    <row r="55" ht="18.75" customHeight="1">
      <c r="A55" s="10" t="n">
        <v>50</v>
      </c>
      <c r="B55" s="9" t="n"/>
      <c r="C55" s="13" t="n">
        <v>9</v>
      </c>
      <c r="D55" s="14" t="n">
        <v>7</v>
      </c>
      <c r="E55" s="14" t="n">
        <v>6</v>
      </c>
      <c r="F55" s="14" t="n">
        <v>7</v>
      </c>
      <c r="G55" s="10" t="n"/>
      <c r="H55" s="10" t="n">
        <v>6</v>
      </c>
      <c r="I55" s="10" t="n">
        <v>7</v>
      </c>
      <c r="J55" s="14" t="n">
        <v>10</v>
      </c>
      <c r="K55" s="9">
        <f>ROUND(AVERAGE(C55:J55),1)</f>
        <v/>
      </c>
      <c r="L55" s="9" t="n"/>
      <c r="M55" s="9" t="n"/>
      <c r="N55" s="9" t="n"/>
    </row>
    <row r="56" ht="18.75" customHeight="1">
      <c r="A56" s="10" t="n"/>
      <c r="B56" s="9" t="n"/>
      <c r="C56" s="10" t="n"/>
      <c r="D56" s="10" t="n"/>
      <c r="E56" s="10" t="n"/>
      <c r="F56" s="10" t="n"/>
      <c r="G56" s="10" t="n"/>
      <c r="H56" s="10" t="n"/>
      <c r="I56" s="10" t="n"/>
      <c r="J56" s="10" t="n"/>
      <c r="K56" s="9" t="n"/>
      <c r="L56" s="9" t="n"/>
      <c r="M56" s="9" t="n"/>
      <c r="N56" s="9" t="n"/>
    </row>
    <row r="57" ht="18.75" customHeight="1">
      <c r="A57" s="10" t="inlineStr">
        <is>
          <t>Count&gt;=56.0%</t>
        </is>
      </c>
      <c r="B57" s="9" t="n"/>
      <c r="C57" s="10">
        <f>COUNTIF(C4:C55,"&gt;=5.6")</f>
        <v/>
      </c>
      <c r="D57" s="10">
        <f>COUNTIF(D4:D55,"&gt;=5.6")</f>
        <v/>
      </c>
      <c r="E57" s="10">
        <f>COUNTIF(E4:E55,"&gt;=5.6")</f>
        <v/>
      </c>
      <c r="F57" s="10">
        <f>COUNTIF(F4:F55,"&gt;=5.6")</f>
        <v/>
      </c>
      <c r="G57" s="10">
        <f>COUNTIF(G4:G55,"&gt;=5.6")</f>
        <v/>
      </c>
      <c r="H57" s="10">
        <f>COUNTIF(H4:H55,"&gt;=5.6")</f>
        <v/>
      </c>
      <c r="I57" s="10">
        <f>COUNTIF(I4:I55,"&gt;=5.6")</f>
        <v/>
      </c>
      <c r="J57" s="10">
        <f>COUNTIF(J4:J55,"&gt;=5.6")</f>
        <v/>
      </c>
      <c r="K57" s="9" t="n"/>
      <c r="L57" s="9" t="n"/>
      <c r="M57" s="9" t="n"/>
      <c r="N57" s="9" t="n"/>
    </row>
    <row r="58" ht="18.75" customHeight="1">
      <c r="A58" s="10" t="inlineStr">
        <is>
          <t>%Count</t>
        </is>
      </c>
      <c r="B58" s="9" t="n"/>
      <c r="C58" s="10">
        <f>ROUND((C57/50)*100, 1)</f>
        <v/>
      </c>
      <c r="D58" s="10">
        <f>ROUND((D57/50)*100, 1)</f>
        <v/>
      </c>
      <c r="E58" s="10">
        <f>ROUND((E57/50)*100, 1)</f>
        <v/>
      </c>
      <c r="F58" s="10">
        <f>ROUND((F57/50)*100, 1)</f>
        <v/>
      </c>
      <c r="G58" s="10">
        <f>ROUND((G57/50)*100, 1)</f>
        <v/>
      </c>
      <c r="H58" s="10">
        <f>ROUND((H57/50)*100, 1)</f>
        <v/>
      </c>
      <c r="I58" s="10">
        <f>ROUND((I57/50)*100, 1)</f>
        <v/>
      </c>
      <c r="J58" s="10">
        <f>ROUND((J57/50)*100, 1)</f>
        <v/>
      </c>
      <c r="K58" s="9" t="n"/>
      <c r="L58" s="9" t="n"/>
      <c r="M58" s="9" t="n"/>
      <c r="N58" s="9" t="n"/>
    </row>
    <row r="59" ht="18.75" customHeight="1">
      <c r="A59" s="10" t="inlineStr">
        <is>
          <t>AL</t>
        </is>
      </c>
      <c r="B59" s="9" t="n"/>
      <c r="C59" s="10">
        <f>IF(C58&lt;60,1,IF(AND(C58&gt;=60,C58&lt;70),2,IF(AND(C58&gt;=70,C58&lt;80),3,4)))</f>
        <v/>
      </c>
      <c r="D59" s="10">
        <f>IF(D58&lt;60,1,IF(AND(D58&gt;=60,D58&lt;70),2,IF(AND(D58&gt;=70,D58&lt;80),3,4)))</f>
        <v/>
      </c>
      <c r="E59" s="10">
        <f>IF(E58&lt;60,1,IF(AND(E58&gt;=60,E58&lt;70),2,IF(AND(E58&gt;=70,E58&lt;80),3,4)))</f>
        <v/>
      </c>
      <c r="F59" s="10">
        <f>IF(F58&lt;60,1,IF(AND(F58&gt;=60,F58&lt;70),2,IF(AND(F58&gt;=70,F58&lt;80),3,4)))</f>
        <v/>
      </c>
      <c r="G59" s="10">
        <f>IF(G58&lt;60,1,IF(AND(G58&gt;=60,G58&lt;70),2,IF(AND(G58&gt;=70,G58&lt;80),3,4)))</f>
        <v/>
      </c>
      <c r="H59" s="10">
        <f>IF(H58&lt;60,1,IF(AND(H58&gt;=60,H58&lt;70),2,IF(AND(H58&gt;=70,H58&lt;80),3,4)))</f>
        <v/>
      </c>
      <c r="I59" s="10">
        <f>IF(I58&lt;60,1,IF(AND(I58&gt;=60,I58&lt;70),2,IF(AND(I58&gt;=70,I58&lt;80),3,4)))</f>
        <v/>
      </c>
      <c r="J59" s="10">
        <f>IF(J58&lt;60,1,IF(AND(J58&gt;=60,J58&lt;70),2,IF(AND(J58&gt;=70,J58&lt;80),3,4)))</f>
        <v/>
      </c>
      <c r="K59" s="9" t="n"/>
      <c r="L59" s="9" t="n"/>
      <c r="M59" s="9" t="n"/>
      <c r="N59" s="9" t="n"/>
    </row>
    <row r="60" ht="18.75" customHeight="1">
      <c r="A60" s="10" t="n"/>
      <c r="B60" s="9" t="n"/>
      <c r="C60" s="10" t="n"/>
      <c r="D60" s="10" t="n"/>
      <c r="E60" s="10" t="n"/>
      <c r="F60" s="10" t="n"/>
      <c r="G60" s="10" t="n"/>
      <c r="H60" s="10" t="n"/>
      <c r="I60" s="10" t="n"/>
      <c r="J60" s="10" t="n"/>
      <c r="K60" s="9" t="n"/>
      <c r="L60" s="9" t="n"/>
      <c r="M60" s="9" t="n"/>
      <c r="N60" s="9" t="n"/>
    </row>
    <row r="61" ht="19.5" customHeight="1">
      <c r="A61" s="10" t="n"/>
      <c r="B61" s="41" t="inlineStr">
        <is>
          <t>LOs</t>
        </is>
      </c>
      <c r="C61" s="42" t="inlineStr">
        <is>
          <t>AL</t>
        </is>
      </c>
      <c r="D61" s="10" t="n"/>
      <c r="E61" s="10" t="n"/>
      <c r="F61" s="10" t="n"/>
      <c r="G61" s="10" t="n"/>
      <c r="H61" s="10" t="n"/>
      <c r="I61" s="10" t="n"/>
      <c r="J61" s="10" t="n"/>
      <c r="K61" s="9" t="n"/>
      <c r="L61" s="9" t="n"/>
      <c r="M61" s="9" t="n"/>
      <c r="N61" s="9" t="n"/>
    </row>
    <row r="62">
      <c r="B62" s="40" t="inlineStr">
        <is>
          <t>LO1</t>
        </is>
      </c>
      <c r="C62" s="40">
        <f>ROUND(AVERAGE(C59),1)</f>
        <v/>
      </c>
    </row>
    <row r="63">
      <c r="B63" s="40" t="inlineStr">
        <is>
          <t>LO2</t>
        </is>
      </c>
      <c r="C63" s="40">
        <f>ROUND(AVERAGE(C59,D59,G59,J59),1)</f>
        <v/>
      </c>
    </row>
    <row r="64">
      <c r="B64" s="40" t="inlineStr">
        <is>
          <t>LO3</t>
        </is>
      </c>
      <c r="C64" s="40">
        <f>ROUND(AVERAGE(D59),1)</f>
        <v/>
      </c>
    </row>
    <row r="65">
      <c r="B65" s="40" t="inlineStr">
        <is>
          <t>LO4</t>
        </is>
      </c>
      <c r="C65" s="40">
        <f>ROUND(AVERAGE(E59,H59),1)</f>
        <v/>
      </c>
    </row>
    <row r="66">
      <c r="B66" s="40" t="inlineStr">
        <is>
          <t>LO5</t>
        </is>
      </c>
      <c r="C66" s="40">
        <f>ROUND(AVERAGE(F59,I59),1)</f>
        <v/>
      </c>
    </row>
  </sheetData>
  <mergeCells count="2">
    <mergeCell ref="A1:N1"/>
    <mergeCell ref="A5:B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/>
    <pageSetUpPr/>
  </sheetPr>
  <dimension ref="A1:J65"/>
  <sheetViews>
    <sheetView tabSelected="1" workbookViewId="0">
      <selection activeCell="A1" sqref="A1"/>
    </sheetView>
  </sheetViews>
  <sheetFormatPr baseColWidth="8" defaultRowHeight="15"/>
  <cols>
    <col width="13.57642857142857" bestFit="1" customWidth="1" style="19" min="1" max="1"/>
    <col width="13.57642857142857" bestFit="1" customWidth="1" style="19" min="2" max="2"/>
    <col width="30.005" bestFit="1" customWidth="1" style="4" min="3" max="3"/>
    <col width="13.57642857142857" bestFit="1" customWidth="1" style="4" min="4" max="4"/>
    <col width="13.57642857142857" bestFit="1" customWidth="1" style="19" min="5" max="5"/>
    <col width="13.57642857142857" bestFit="1" customWidth="1" style="29" min="6" max="6"/>
    <col width="13.57642857142857" bestFit="1" customWidth="1" style="29" min="7" max="7"/>
    <col width="13.57642857142857" bestFit="1" customWidth="1" style="29" min="8" max="8"/>
    <col width="13.57642857142857" bestFit="1" customWidth="1" style="29" min="9" max="9"/>
    <col width="13.57642857142857" bestFit="1" customWidth="1" style="29" min="10" max="10"/>
  </cols>
  <sheetData>
    <row r="1" ht="18.75" customHeight="1">
      <c r="A1" s="21" t="inlineStr">
        <is>
          <t>DSA Mini Project</t>
        </is>
      </c>
      <c r="F1" s="29" t="n"/>
      <c r="G1" s="29" t="n"/>
      <c r="H1" s="29" t="n"/>
      <c r="I1" s="29" t="n"/>
      <c r="J1" s="29" t="n"/>
    </row>
    <row r="2" ht="18.75" customHeight="1">
      <c r="A2" s="19" t="inlineStr">
        <is>
          <t>Target=56.0</t>
        </is>
      </c>
      <c r="B2" s="19" t="n"/>
      <c r="C2" s="4" t="n"/>
      <c r="D2" s="4" t="n"/>
      <c r="E2" s="19" t="n"/>
      <c r="F2" s="29" t="n"/>
      <c r="G2" s="29" t="n"/>
      <c r="H2" s="29" t="n"/>
      <c r="I2" s="29" t="n"/>
      <c r="J2" s="29" t="n"/>
    </row>
    <row r="3" ht="18.75" customHeight="1">
      <c r="A3" s="15" t="inlineStr">
        <is>
          <t>Group No.</t>
        </is>
      </c>
      <c r="B3" s="15" t="inlineStr">
        <is>
          <t>Roll No.</t>
        </is>
      </c>
      <c r="C3" s="23" t="inlineStr">
        <is>
          <t>Name of Student</t>
        </is>
      </c>
      <c r="D3" s="23" t="inlineStr">
        <is>
          <t>Project Name</t>
        </is>
      </c>
      <c r="E3" s="15" t="inlineStr">
        <is>
          <t>a</t>
        </is>
      </c>
      <c r="F3" s="29" t="inlineStr">
        <is>
          <t>b</t>
        </is>
      </c>
      <c r="G3" s="29" t="inlineStr">
        <is>
          <t>c</t>
        </is>
      </c>
      <c r="H3" s="29" t="inlineStr">
        <is>
          <t>d</t>
        </is>
      </c>
      <c r="I3" s="29" t="inlineStr">
        <is>
          <t>e</t>
        </is>
      </c>
      <c r="J3" s="29" t="n"/>
    </row>
    <row r="4" ht="18.75" customHeight="1">
      <c r="A4" s="15" t="inlineStr">
        <is>
          <t>LOs Mapped</t>
        </is>
      </c>
      <c r="B4" s="15" t="n"/>
      <c r="C4" s="23" t="n"/>
      <c r="D4" s="23" t="n"/>
      <c r="E4" s="15" t="inlineStr">
        <is>
          <t>1,2</t>
        </is>
      </c>
      <c r="F4" s="29" t="n">
        <v>3</v>
      </c>
      <c r="G4" s="29" t="n">
        <v>4</v>
      </c>
      <c r="H4" s="29" t="n">
        <v>5</v>
      </c>
      <c r="I4" s="29" t="n">
        <v>3</v>
      </c>
      <c r="J4" s="29" t="n"/>
    </row>
    <row r="5" ht="18.75" customHeight="1">
      <c r="A5" s="24" t="n">
        <v>1</v>
      </c>
      <c r="B5" s="25" t="n">
        <v>1</v>
      </c>
      <c r="C5" s="23" t="inlineStr">
        <is>
          <t>Student 1</t>
        </is>
      </c>
      <c r="D5" s="26" t="n"/>
      <c r="E5" s="27" t="n">
        <v>5</v>
      </c>
      <c r="F5" s="27" t="n">
        <v>5</v>
      </c>
      <c r="G5" s="27" t="n">
        <v>5</v>
      </c>
      <c r="H5" s="27" t="n">
        <v>5</v>
      </c>
      <c r="I5" s="27" t="n">
        <v>5</v>
      </c>
      <c r="J5" s="27" t="n"/>
    </row>
    <row r="6" ht="18.75" customHeight="1">
      <c r="A6" s="43" t="n"/>
      <c r="B6" s="25" t="n">
        <v>2</v>
      </c>
      <c r="C6" s="23" t="inlineStr">
        <is>
          <t>Student 2</t>
        </is>
      </c>
      <c r="D6" s="43" t="n"/>
      <c r="E6" s="27" t="n">
        <v>3</v>
      </c>
      <c r="F6" s="27" t="n">
        <v>3</v>
      </c>
      <c r="G6" s="27" t="n">
        <v>3</v>
      </c>
      <c r="H6" s="27" t="n">
        <v>3</v>
      </c>
      <c r="I6" s="27" t="n">
        <v>3</v>
      </c>
      <c r="J6" s="27" t="n"/>
    </row>
    <row r="7" ht="18.75" customHeight="1">
      <c r="A7" s="43" t="n"/>
      <c r="B7" s="25" t="n">
        <v>3</v>
      </c>
      <c r="C7" s="23" t="inlineStr">
        <is>
          <t>Student 3</t>
        </is>
      </c>
      <c r="D7" s="43" t="n"/>
      <c r="E7" s="27" t="n">
        <v>5</v>
      </c>
      <c r="F7" s="27" t="n">
        <v>5</v>
      </c>
      <c r="G7" s="27" t="n">
        <v>5</v>
      </c>
      <c r="H7" s="27" t="n">
        <v>5</v>
      </c>
      <c r="I7" s="27" t="n">
        <v>5</v>
      </c>
      <c r="J7" s="27" t="n"/>
    </row>
    <row r="8" ht="18.75" customHeight="1">
      <c r="A8" s="43" t="n"/>
      <c r="B8" s="25" t="n">
        <v>4</v>
      </c>
      <c r="C8" s="23" t="inlineStr">
        <is>
          <t>Student 4</t>
        </is>
      </c>
      <c r="D8" s="43" t="n"/>
      <c r="E8" s="27" t="n">
        <v>3</v>
      </c>
      <c r="F8" s="27" t="n">
        <v>3</v>
      </c>
      <c r="G8" s="27" t="n">
        <v>3</v>
      </c>
      <c r="H8" s="27" t="n">
        <v>3</v>
      </c>
      <c r="I8" s="27" t="n">
        <v>3</v>
      </c>
      <c r="J8" s="27" t="n"/>
    </row>
    <row r="9" ht="18.75" customHeight="1">
      <c r="A9" s="44" t="n"/>
      <c r="B9" s="25" t="n">
        <v>5</v>
      </c>
      <c r="C9" s="23" t="inlineStr">
        <is>
          <t>Student 5</t>
        </is>
      </c>
      <c r="D9" s="44" t="n"/>
      <c r="E9" s="27" t="n">
        <v>3</v>
      </c>
      <c r="F9" s="27" t="n">
        <v>4</v>
      </c>
      <c r="G9" s="27" t="n">
        <v>4</v>
      </c>
      <c r="H9" s="27" t="n">
        <v>4</v>
      </c>
      <c r="I9" s="27" t="n">
        <v>4</v>
      </c>
      <c r="J9" s="27" t="n"/>
    </row>
    <row r="10" ht="18.75" customHeight="1">
      <c r="A10" s="24" t="n">
        <v>2</v>
      </c>
      <c r="B10" s="25" t="n">
        <v>6</v>
      </c>
      <c r="C10" s="23" t="inlineStr">
        <is>
          <t>Student 6</t>
        </is>
      </c>
      <c r="D10" s="26" t="n"/>
      <c r="E10" s="27" t="n">
        <v>4</v>
      </c>
      <c r="F10" s="27" t="n">
        <v>4</v>
      </c>
      <c r="G10" s="27" t="n">
        <v>4</v>
      </c>
      <c r="H10" s="27" t="n">
        <v>4</v>
      </c>
      <c r="I10" s="27" t="n">
        <v>4</v>
      </c>
      <c r="J10" s="27" t="n"/>
    </row>
    <row r="11" ht="18.75" customHeight="1">
      <c r="A11" s="43" t="n"/>
      <c r="B11" s="25" t="n">
        <v>7</v>
      </c>
      <c r="C11" s="23" t="inlineStr">
        <is>
          <t>Student 7</t>
        </is>
      </c>
      <c r="D11" s="43" t="n"/>
      <c r="E11" s="27" t="n">
        <v>4</v>
      </c>
      <c r="F11" s="27" t="n">
        <v>4</v>
      </c>
      <c r="G11" s="27" t="n">
        <v>4</v>
      </c>
      <c r="H11" s="27" t="n">
        <v>4</v>
      </c>
      <c r="I11" s="27" t="n">
        <v>4</v>
      </c>
      <c r="J11" s="27" t="n"/>
    </row>
    <row r="12" ht="18.75" customHeight="1">
      <c r="A12" s="43" t="n"/>
      <c r="B12" s="25" t="n">
        <v>8</v>
      </c>
      <c r="C12" s="23" t="inlineStr">
        <is>
          <t>Student 8</t>
        </is>
      </c>
      <c r="D12" s="43" t="n"/>
      <c r="E12" s="27" t="n">
        <v>3</v>
      </c>
      <c r="F12" s="27" t="n">
        <v>3</v>
      </c>
      <c r="G12" s="27" t="n">
        <v>3</v>
      </c>
      <c r="H12" s="27" t="n">
        <v>3</v>
      </c>
      <c r="I12" s="27" t="n">
        <v>3</v>
      </c>
      <c r="J12" s="27" t="n"/>
    </row>
    <row r="13" ht="18.75" customHeight="1">
      <c r="A13" s="43" t="n"/>
      <c r="B13" s="25" t="n">
        <v>9</v>
      </c>
      <c r="C13" s="23" t="inlineStr">
        <is>
          <t>Student 9</t>
        </is>
      </c>
      <c r="D13" s="43" t="n"/>
      <c r="E13" s="27" t="n">
        <v>4</v>
      </c>
      <c r="F13" s="27" t="n">
        <v>4</v>
      </c>
      <c r="G13" s="27" t="n">
        <v>4</v>
      </c>
      <c r="H13" s="27" t="n">
        <v>4</v>
      </c>
      <c r="I13" s="27" t="n">
        <v>4</v>
      </c>
      <c r="J13" s="27" t="n"/>
    </row>
    <row r="14" ht="18.75" customHeight="1">
      <c r="A14" s="44" t="n"/>
      <c r="B14" s="25" t="n">
        <v>10</v>
      </c>
      <c r="C14" s="23" t="inlineStr">
        <is>
          <t>Student 10</t>
        </is>
      </c>
      <c r="D14" s="44" t="n"/>
      <c r="E14" s="27" t="n">
        <v>4</v>
      </c>
      <c r="F14" s="27" t="n">
        <v>5</v>
      </c>
      <c r="G14" s="27" t="n">
        <v>3</v>
      </c>
      <c r="H14" s="27" t="n">
        <v>4</v>
      </c>
      <c r="I14" s="27" t="n">
        <v>4</v>
      </c>
      <c r="J14" s="27" t="n"/>
    </row>
    <row r="15" ht="18.75" customHeight="1">
      <c r="A15" s="24" t="n">
        <v>3</v>
      </c>
      <c r="B15" s="25" t="n">
        <v>11</v>
      </c>
      <c r="C15" s="23" t="inlineStr">
        <is>
          <t>Student 11</t>
        </is>
      </c>
      <c r="D15" s="26" t="n"/>
      <c r="E15" s="27" t="n">
        <v>5</v>
      </c>
      <c r="F15" s="27" t="n">
        <v>5</v>
      </c>
      <c r="G15" s="27" t="n">
        <v>5</v>
      </c>
      <c r="H15" s="27" t="n">
        <v>5</v>
      </c>
      <c r="I15" s="27" t="n">
        <v>5</v>
      </c>
      <c r="J15" s="27" t="n"/>
    </row>
    <row r="16" ht="18.75" customHeight="1">
      <c r="A16" s="43" t="n"/>
      <c r="B16" s="25" t="n">
        <v>12</v>
      </c>
      <c r="C16" s="23" t="inlineStr">
        <is>
          <t>Student 12</t>
        </is>
      </c>
      <c r="D16" s="43" t="n"/>
      <c r="E16" s="27" t="n">
        <v>5</v>
      </c>
      <c r="F16" s="27" t="n">
        <v>5</v>
      </c>
      <c r="G16" s="27" t="n">
        <v>5</v>
      </c>
      <c r="H16" s="27" t="n">
        <v>5</v>
      </c>
      <c r="I16" s="27" t="n">
        <v>5</v>
      </c>
      <c r="J16" s="27" t="n"/>
    </row>
    <row r="17" ht="18.75" customHeight="1">
      <c r="A17" s="43" t="n"/>
      <c r="B17" s="25" t="n">
        <v>13</v>
      </c>
      <c r="C17" s="23" t="inlineStr">
        <is>
          <t>Student 13</t>
        </is>
      </c>
      <c r="D17" s="43" t="n"/>
      <c r="E17" s="27" t="n">
        <v>5</v>
      </c>
      <c r="F17" s="27" t="n">
        <v>5</v>
      </c>
      <c r="G17" s="27" t="n">
        <v>5</v>
      </c>
      <c r="H17" s="27" t="n">
        <v>5</v>
      </c>
      <c r="I17" s="27" t="n">
        <v>5</v>
      </c>
      <c r="J17" s="27" t="n"/>
    </row>
    <row r="18" ht="18.75" customHeight="1">
      <c r="A18" s="43" t="n"/>
      <c r="B18" s="25" t="n">
        <v>14</v>
      </c>
      <c r="C18" s="23" t="inlineStr">
        <is>
          <t>Student 14</t>
        </is>
      </c>
      <c r="D18" s="43" t="n"/>
      <c r="E18" s="27" t="n">
        <v>4</v>
      </c>
      <c r="F18" s="28" t="n">
        <v>3</v>
      </c>
      <c r="G18" s="27" t="n">
        <v>4</v>
      </c>
      <c r="H18" s="27" t="n">
        <v>4</v>
      </c>
      <c r="I18" s="27" t="n">
        <v>4</v>
      </c>
      <c r="J18" s="27" t="n"/>
    </row>
    <row r="19" ht="18.75" customHeight="1">
      <c r="A19" s="44" t="n"/>
      <c r="B19" s="25" t="n">
        <v>15</v>
      </c>
      <c r="C19" s="23" t="inlineStr">
        <is>
          <t>Student 15</t>
        </is>
      </c>
      <c r="D19" s="44" t="n"/>
      <c r="E19" s="27" t="n">
        <v>4</v>
      </c>
      <c r="F19" s="28" t="n">
        <v>5</v>
      </c>
      <c r="G19" s="27" t="n">
        <v>4</v>
      </c>
      <c r="H19" s="27" t="n">
        <v>4</v>
      </c>
      <c r="I19" s="27" t="n">
        <v>4</v>
      </c>
      <c r="J19" s="27" t="n"/>
    </row>
    <row r="20" ht="18.75" customHeight="1">
      <c r="A20" s="24" t="n">
        <v>4</v>
      </c>
      <c r="B20" s="25" t="n">
        <v>16</v>
      </c>
      <c r="C20" s="23" t="inlineStr">
        <is>
          <t>Student 16</t>
        </is>
      </c>
      <c r="D20" s="26" t="n"/>
      <c r="E20" s="27" t="n">
        <v>3</v>
      </c>
      <c r="F20" s="28" t="n">
        <v>3</v>
      </c>
      <c r="G20" s="27" t="n">
        <v>3</v>
      </c>
      <c r="H20" s="27" t="n">
        <v>3</v>
      </c>
      <c r="I20" s="27" t="n">
        <v>3</v>
      </c>
      <c r="J20" s="27" t="n"/>
    </row>
    <row r="21" ht="18.75" customHeight="1">
      <c r="A21" s="43" t="n"/>
      <c r="B21" s="25" t="n">
        <v>17</v>
      </c>
      <c r="C21" s="23" t="inlineStr">
        <is>
          <t>Student 17</t>
        </is>
      </c>
      <c r="D21" s="43" t="n"/>
      <c r="E21" s="27" t="n">
        <v>5</v>
      </c>
      <c r="F21" s="28" t="n">
        <v>3</v>
      </c>
      <c r="G21" s="27" t="n">
        <v>5</v>
      </c>
      <c r="H21" s="27" t="n">
        <v>5</v>
      </c>
      <c r="I21" s="27" t="n">
        <v>5</v>
      </c>
      <c r="J21" s="27" t="n"/>
    </row>
    <row r="22" ht="18.75" customHeight="1">
      <c r="A22" s="43" t="n"/>
      <c r="B22" s="25" t="n">
        <v>18</v>
      </c>
      <c r="C22" s="23" t="inlineStr">
        <is>
          <t>Student 18</t>
        </is>
      </c>
      <c r="D22" s="43" t="n"/>
      <c r="E22" s="27" t="n">
        <v>3</v>
      </c>
      <c r="F22" s="28" t="n">
        <v>4</v>
      </c>
      <c r="G22" s="27" t="n">
        <v>3</v>
      </c>
      <c r="H22" s="27" t="n">
        <v>3</v>
      </c>
      <c r="I22" s="27" t="n">
        <v>3</v>
      </c>
      <c r="J22" s="27" t="n"/>
    </row>
    <row r="23" ht="18.75" customHeight="1">
      <c r="A23" s="43" t="n"/>
      <c r="B23" s="25" t="n">
        <v>19</v>
      </c>
      <c r="C23" s="23" t="inlineStr">
        <is>
          <t>Student 19</t>
        </is>
      </c>
      <c r="D23" s="43" t="n"/>
      <c r="E23" s="27" t="n">
        <v>3</v>
      </c>
      <c r="F23" s="28" t="n">
        <v>4</v>
      </c>
      <c r="G23" s="27" t="n">
        <v>3</v>
      </c>
      <c r="H23" s="27" t="n">
        <v>3</v>
      </c>
      <c r="I23" s="27" t="n">
        <v>3</v>
      </c>
      <c r="J23" s="27" t="n"/>
    </row>
    <row r="24" ht="18.75" customHeight="1">
      <c r="A24" s="44" t="n"/>
      <c r="B24" s="25" t="n">
        <v>20</v>
      </c>
      <c r="C24" s="23" t="inlineStr">
        <is>
          <t>Student 20</t>
        </is>
      </c>
      <c r="D24" s="44" t="n"/>
      <c r="E24" s="27" t="n">
        <v>5</v>
      </c>
      <c r="F24" s="28" t="n">
        <v>3</v>
      </c>
      <c r="G24" s="27" t="n">
        <v>5</v>
      </c>
      <c r="H24" s="27" t="n">
        <v>5</v>
      </c>
      <c r="I24" s="27" t="n">
        <v>5</v>
      </c>
      <c r="J24" s="27" t="n"/>
    </row>
    <row r="25" ht="18.75" customHeight="1">
      <c r="A25" s="24" t="n">
        <v>5</v>
      </c>
      <c r="B25" s="25" t="n">
        <v>21</v>
      </c>
      <c r="C25" s="23" t="inlineStr">
        <is>
          <t>Student 21</t>
        </is>
      </c>
      <c r="D25" s="26" t="n"/>
      <c r="E25" s="27" t="n">
        <v>4</v>
      </c>
      <c r="F25" s="28" t="n">
        <v>4</v>
      </c>
      <c r="G25" s="27" t="n">
        <v>4</v>
      </c>
      <c r="H25" s="27" t="n">
        <v>4</v>
      </c>
      <c r="I25" s="27" t="n">
        <v>4</v>
      </c>
      <c r="J25" s="27" t="n"/>
    </row>
    <row r="26" ht="18.75" customHeight="1">
      <c r="A26" s="43" t="n"/>
      <c r="B26" s="25" t="n">
        <v>22</v>
      </c>
      <c r="C26" s="23" t="inlineStr">
        <is>
          <t>Student 22</t>
        </is>
      </c>
      <c r="D26" s="43" t="n"/>
      <c r="E26" s="27" t="n">
        <v>5</v>
      </c>
      <c r="F26" s="28" t="n">
        <v>4</v>
      </c>
      <c r="G26" s="27" t="n">
        <v>5</v>
      </c>
      <c r="H26" s="27" t="n">
        <v>5</v>
      </c>
      <c r="I26" s="27" t="n">
        <v>5</v>
      </c>
      <c r="J26" s="27" t="n"/>
    </row>
    <row r="27" ht="18.75" customHeight="1">
      <c r="A27" s="43" t="n"/>
      <c r="B27" s="25" t="n">
        <v>23</v>
      </c>
      <c r="C27" s="23" t="inlineStr">
        <is>
          <t>Student 23</t>
        </is>
      </c>
      <c r="D27" s="43" t="n"/>
      <c r="E27" s="27" t="n">
        <v>5</v>
      </c>
      <c r="F27" s="28" t="n">
        <v>5</v>
      </c>
      <c r="G27" s="27" t="n">
        <v>5</v>
      </c>
      <c r="H27" s="27" t="n">
        <v>5</v>
      </c>
      <c r="I27" s="27" t="n">
        <v>5</v>
      </c>
      <c r="J27" s="27" t="n"/>
    </row>
    <row r="28" ht="18.75" customHeight="1">
      <c r="A28" s="43" t="n"/>
      <c r="B28" s="25" t="n">
        <v>24</v>
      </c>
      <c r="C28" s="23" t="inlineStr">
        <is>
          <t>Student 24</t>
        </is>
      </c>
      <c r="D28" s="43" t="n"/>
      <c r="E28" s="27" t="n">
        <v>5</v>
      </c>
      <c r="F28" s="28" t="n">
        <v>5</v>
      </c>
      <c r="G28" s="27" t="n">
        <v>5</v>
      </c>
      <c r="H28" s="27" t="n">
        <v>5</v>
      </c>
      <c r="I28" s="27" t="n">
        <v>5</v>
      </c>
      <c r="J28" s="27" t="n"/>
    </row>
    <row r="29" ht="18.75" customHeight="1">
      <c r="A29" s="44" t="n"/>
      <c r="B29" s="25" t="n">
        <v>25</v>
      </c>
      <c r="C29" s="23" t="inlineStr">
        <is>
          <t>Student 25</t>
        </is>
      </c>
      <c r="D29" s="44" t="n"/>
      <c r="E29" s="27" t="n">
        <v>3</v>
      </c>
      <c r="F29" s="28" t="n">
        <v>5</v>
      </c>
      <c r="G29" s="27" t="n">
        <v>4</v>
      </c>
      <c r="H29" s="27" t="n">
        <v>3</v>
      </c>
      <c r="I29" s="27" t="n">
        <v>4</v>
      </c>
      <c r="J29" s="27" t="n"/>
    </row>
    <row r="30" ht="18.75" customHeight="1">
      <c r="A30" s="24" t="n">
        <v>6</v>
      </c>
      <c r="B30" s="25" t="n">
        <v>26</v>
      </c>
      <c r="C30" s="23" t="inlineStr">
        <is>
          <t>Student 26</t>
        </is>
      </c>
      <c r="D30" s="26" t="n"/>
      <c r="E30" s="27" t="n">
        <v>5</v>
      </c>
      <c r="F30" s="28" t="n">
        <v>4</v>
      </c>
      <c r="G30" s="27" t="n">
        <v>5</v>
      </c>
      <c r="H30" s="27" t="n">
        <v>5</v>
      </c>
      <c r="I30" s="27" t="n">
        <v>5</v>
      </c>
      <c r="J30" s="27" t="n"/>
    </row>
    <row r="31" ht="18.75" customHeight="1">
      <c r="A31" s="43" t="n"/>
      <c r="B31" s="25" t="n">
        <v>27</v>
      </c>
      <c r="C31" s="23" t="inlineStr">
        <is>
          <t>Student 27</t>
        </is>
      </c>
      <c r="D31" s="43" t="n"/>
      <c r="E31" s="27" t="n">
        <v>5</v>
      </c>
      <c r="F31" s="28" t="n">
        <v>4</v>
      </c>
      <c r="G31" s="27" t="n">
        <v>5</v>
      </c>
      <c r="H31" s="27" t="n">
        <v>4</v>
      </c>
      <c r="I31" s="27" t="n">
        <v>4</v>
      </c>
      <c r="J31" s="27" t="n"/>
    </row>
    <row r="32" ht="18.75" customHeight="1">
      <c r="A32" s="43" t="n"/>
      <c r="B32" s="25" t="n">
        <v>28</v>
      </c>
      <c r="C32" s="23" t="inlineStr">
        <is>
          <t>Student 28</t>
        </is>
      </c>
      <c r="D32" s="43" t="n"/>
      <c r="E32" s="27" t="n">
        <v>3</v>
      </c>
      <c r="F32" s="28" t="n">
        <v>3</v>
      </c>
      <c r="G32" s="27" t="n">
        <v>3</v>
      </c>
      <c r="H32" s="27" t="n">
        <v>3</v>
      </c>
      <c r="I32" s="27" t="n">
        <v>3</v>
      </c>
      <c r="J32" s="27" t="n"/>
    </row>
    <row r="33" ht="18.75" customHeight="1">
      <c r="A33" s="43" t="n"/>
      <c r="B33" s="25" t="n">
        <v>29</v>
      </c>
      <c r="C33" s="23" t="inlineStr">
        <is>
          <t>Student 29</t>
        </is>
      </c>
      <c r="D33" s="43" t="n"/>
      <c r="E33" s="27" t="n">
        <v>5</v>
      </c>
      <c r="F33" s="28" t="n">
        <v>5</v>
      </c>
      <c r="G33" s="27" t="n">
        <v>5</v>
      </c>
      <c r="H33" s="27" t="n">
        <v>5</v>
      </c>
      <c r="I33" s="27" t="n">
        <v>5</v>
      </c>
      <c r="J33" s="27" t="n"/>
    </row>
    <row r="34" ht="18.75" customHeight="1">
      <c r="A34" s="44" t="n"/>
      <c r="B34" s="25" t="n">
        <v>30</v>
      </c>
      <c r="C34" s="23" t="inlineStr">
        <is>
          <t>Student 30</t>
        </is>
      </c>
      <c r="D34" s="44" t="n"/>
      <c r="E34" s="27" t="n">
        <v>4</v>
      </c>
      <c r="F34" s="28" t="n">
        <v>3</v>
      </c>
      <c r="G34" s="27" t="n">
        <v>4</v>
      </c>
      <c r="H34" s="27" t="n">
        <v>4</v>
      </c>
      <c r="I34" s="27" t="n">
        <v>4</v>
      </c>
      <c r="J34" s="27" t="n"/>
    </row>
    <row r="35" ht="18.75" customHeight="1">
      <c r="A35" s="24" t="n">
        <v>7</v>
      </c>
      <c r="B35" s="25" t="n">
        <v>31</v>
      </c>
      <c r="C35" s="23" t="inlineStr">
        <is>
          <t>Student 31</t>
        </is>
      </c>
      <c r="D35" s="26" t="n"/>
      <c r="E35" s="27" t="n">
        <v>5</v>
      </c>
      <c r="F35" s="28" t="n">
        <v>3</v>
      </c>
      <c r="G35" s="27" t="n">
        <v>5</v>
      </c>
      <c r="H35" s="27" t="n">
        <v>5</v>
      </c>
      <c r="I35" s="27" t="n">
        <v>5</v>
      </c>
      <c r="J35" s="27" t="n"/>
    </row>
    <row r="36" ht="18.75" customHeight="1">
      <c r="A36" s="43" t="n"/>
      <c r="B36" s="25" t="n">
        <v>32</v>
      </c>
      <c r="C36" s="23" t="inlineStr">
        <is>
          <t>Student 32</t>
        </is>
      </c>
      <c r="D36" s="43" t="n"/>
      <c r="E36" s="27" t="n">
        <v>4</v>
      </c>
      <c r="F36" s="28" t="n">
        <v>3</v>
      </c>
      <c r="G36" s="27" t="n">
        <v>4</v>
      </c>
      <c r="H36" s="27" t="n">
        <v>4</v>
      </c>
      <c r="I36" s="27" t="n">
        <v>4</v>
      </c>
      <c r="J36" s="27" t="n"/>
    </row>
    <row r="37" ht="18.75" customHeight="1">
      <c r="A37" s="43" t="n"/>
      <c r="B37" s="25" t="n">
        <v>33</v>
      </c>
      <c r="C37" s="23" t="inlineStr">
        <is>
          <t>Student 33</t>
        </is>
      </c>
      <c r="D37" s="43" t="n"/>
      <c r="E37" s="27" t="n">
        <v>4</v>
      </c>
      <c r="F37" s="28" t="n">
        <v>5</v>
      </c>
      <c r="G37" s="27" t="n">
        <v>4</v>
      </c>
      <c r="H37" s="27" t="n">
        <v>4</v>
      </c>
      <c r="I37" s="27" t="n">
        <v>4</v>
      </c>
      <c r="J37" s="27" t="n"/>
    </row>
    <row r="38" ht="18.75" customHeight="1">
      <c r="A38" s="43" t="n"/>
      <c r="B38" s="25" t="n">
        <v>34</v>
      </c>
      <c r="C38" s="23" t="inlineStr">
        <is>
          <t>Student 34</t>
        </is>
      </c>
      <c r="D38" s="43" t="n"/>
      <c r="E38" s="27" t="n">
        <v>3</v>
      </c>
      <c r="F38" s="28" t="n">
        <v>3</v>
      </c>
      <c r="G38" s="27" t="n">
        <v>3</v>
      </c>
      <c r="H38" s="27" t="n">
        <v>3</v>
      </c>
      <c r="I38" s="27" t="n">
        <v>3</v>
      </c>
      <c r="J38" s="27" t="n"/>
    </row>
    <row r="39" ht="18.75" customHeight="1">
      <c r="A39" s="44" t="n"/>
      <c r="B39" s="25" t="n">
        <v>35</v>
      </c>
      <c r="C39" s="23" t="inlineStr">
        <is>
          <t>Student 35</t>
        </is>
      </c>
      <c r="D39" s="44" t="n"/>
      <c r="E39" s="27" t="n">
        <v>5</v>
      </c>
      <c r="F39" s="28" t="n">
        <v>3</v>
      </c>
      <c r="G39" s="27" t="n">
        <v>5</v>
      </c>
      <c r="H39" s="27" t="n">
        <v>5</v>
      </c>
      <c r="I39" s="27" t="n">
        <v>5</v>
      </c>
      <c r="J39" s="27" t="n"/>
    </row>
    <row r="40" ht="18.75" customHeight="1">
      <c r="A40" s="24" t="n">
        <v>8</v>
      </c>
      <c r="B40" s="25" t="n">
        <v>36</v>
      </c>
      <c r="C40" s="23" t="inlineStr">
        <is>
          <t>Student 36</t>
        </is>
      </c>
      <c r="D40" s="26" t="n"/>
      <c r="E40" s="27" t="n">
        <v>3</v>
      </c>
      <c r="F40" s="28" t="n">
        <v>4</v>
      </c>
      <c r="G40" s="27" t="n">
        <v>3</v>
      </c>
      <c r="H40" s="27" t="n">
        <v>3</v>
      </c>
      <c r="I40" s="27" t="n">
        <v>3</v>
      </c>
      <c r="J40" s="27" t="n"/>
    </row>
    <row r="41" ht="18.75" customHeight="1">
      <c r="A41" s="43" t="n"/>
      <c r="B41" s="25" t="n">
        <v>37</v>
      </c>
      <c r="C41" s="23" t="inlineStr">
        <is>
          <t>Student 37</t>
        </is>
      </c>
      <c r="D41" s="43" t="n"/>
      <c r="E41" s="27" t="n">
        <v>3</v>
      </c>
      <c r="F41" s="28" t="n">
        <v>4</v>
      </c>
      <c r="G41" s="27" t="n">
        <v>3</v>
      </c>
      <c r="H41" s="27" t="n">
        <v>3</v>
      </c>
      <c r="I41" s="27" t="n">
        <v>3</v>
      </c>
      <c r="J41" s="27" t="n"/>
    </row>
    <row r="42" ht="18.75" customHeight="1">
      <c r="A42" s="43" t="n"/>
      <c r="B42" s="25" t="n">
        <v>38</v>
      </c>
      <c r="C42" s="23" t="inlineStr">
        <is>
          <t>Student 38</t>
        </is>
      </c>
      <c r="D42" s="43" t="n"/>
      <c r="E42" s="27" t="n">
        <v>4</v>
      </c>
      <c r="F42" s="28" t="n">
        <v>3</v>
      </c>
      <c r="G42" s="27" t="n">
        <v>4</v>
      </c>
      <c r="H42" s="27" t="n">
        <v>4</v>
      </c>
      <c r="I42" s="27" t="n">
        <v>4</v>
      </c>
      <c r="J42" s="27" t="n"/>
    </row>
    <row r="43" ht="18.75" customHeight="1">
      <c r="A43" s="43" t="n"/>
      <c r="B43" s="25" t="n">
        <v>39</v>
      </c>
      <c r="C43" s="23" t="inlineStr">
        <is>
          <t>Student 39</t>
        </is>
      </c>
      <c r="D43" s="43" t="n"/>
      <c r="E43" s="27" t="n">
        <v>4</v>
      </c>
      <c r="F43" s="28" t="n">
        <v>5</v>
      </c>
      <c r="G43" s="27" t="n">
        <v>4</v>
      </c>
      <c r="H43" s="27" t="n">
        <v>4</v>
      </c>
      <c r="I43" s="27" t="n">
        <v>4</v>
      </c>
      <c r="J43" s="27" t="n"/>
    </row>
    <row r="44" ht="18.75" customHeight="1">
      <c r="A44" s="44" t="n"/>
      <c r="B44" s="25" t="n">
        <v>40</v>
      </c>
      <c r="C44" s="23" t="inlineStr">
        <is>
          <t>Student 40</t>
        </is>
      </c>
      <c r="D44" s="44" t="n"/>
      <c r="E44" s="27" t="n">
        <v>3</v>
      </c>
      <c r="F44" s="28" t="n">
        <v>3</v>
      </c>
      <c r="G44" s="27" t="n">
        <v>3</v>
      </c>
      <c r="H44" s="27" t="n">
        <v>3</v>
      </c>
      <c r="I44" s="27" t="n">
        <v>3</v>
      </c>
      <c r="J44" s="27" t="n"/>
    </row>
    <row r="45" ht="18.75" customHeight="1">
      <c r="A45" s="24" t="n">
        <v>9</v>
      </c>
      <c r="B45" s="25" t="n">
        <v>41</v>
      </c>
      <c r="C45" s="23" t="inlineStr">
        <is>
          <t>Student 41</t>
        </is>
      </c>
      <c r="D45" s="26" t="n"/>
      <c r="E45" s="27" t="n">
        <v>5</v>
      </c>
      <c r="F45" s="28" t="n">
        <v>3</v>
      </c>
      <c r="G45" s="27" t="n">
        <v>5</v>
      </c>
      <c r="H45" s="27" t="n">
        <v>5</v>
      </c>
      <c r="I45" s="27" t="n">
        <v>5</v>
      </c>
      <c r="J45" s="27" t="n"/>
    </row>
    <row r="46" ht="18.75" customHeight="1">
      <c r="A46" s="43" t="n"/>
      <c r="B46" s="25" t="n">
        <v>42</v>
      </c>
      <c r="C46" s="23" t="inlineStr">
        <is>
          <t>Student 42</t>
        </is>
      </c>
      <c r="D46" s="43" t="n"/>
      <c r="E46" s="27" t="n">
        <v>3</v>
      </c>
      <c r="F46" s="28" t="n">
        <v>4</v>
      </c>
      <c r="G46" s="27" t="n">
        <v>3</v>
      </c>
      <c r="H46" s="27" t="n">
        <v>3</v>
      </c>
      <c r="I46" s="27" t="n">
        <v>3</v>
      </c>
      <c r="J46" s="27" t="n"/>
    </row>
    <row r="47" ht="18.75" customHeight="1">
      <c r="A47" s="43" t="n"/>
      <c r="B47" s="25" t="n">
        <v>43</v>
      </c>
      <c r="C47" s="23" t="inlineStr">
        <is>
          <t>Student 43</t>
        </is>
      </c>
      <c r="D47" s="43" t="n"/>
      <c r="E47" s="27" t="n">
        <v>3</v>
      </c>
      <c r="F47" s="28" t="n">
        <v>4</v>
      </c>
      <c r="G47" s="27" t="n">
        <v>3</v>
      </c>
      <c r="H47" s="27" t="n">
        <v>3</v>
      </c>
      <c r="I47" s="27" t="n">
        <v>3</v>
      </c>
      <c r="J47" s="27" t="n"/>
    </row>
    <row r="48" ht="18.75" customHeight="1">
      <c r="A48" s="43" t="n"/>
      <c r="B48" s="25" t="n">
        <v>44</v>
      </c>
      <c r="C48" s="23" t="inlineStr">
        <is>
          <t>Student 44</t>
        </is>
      </c>
      <c r="D48" s="43" t="n"/>
      <c r="E48" s="27" t="n">
        <v>5</v>
      </c>
      <c r="F48" s="28" t="n">
        <v>3</v>
      </c>
      <c r="G48" s="27" t="n">
        <v>5</v>
      </c>
      <c r="H48" s="27" t="n">
        <v>5</v>
      </c>
      <c r="I48" s="27" t="n">
        <v>5</v>
      </c>
      <c r="J48" s="27" t="n"/>
    </row>
    <row r="49" ht="18.75" customHeight="1">
      <c r="A49" s="44" t="n"/>
      <c r="B49" s="25" t="n">
        <v>45</v>
      </c>
      <c r="C49" s="23" t="inlineStr">
        <is>
          <t>Student 45</t>
        </is>
      </c>
      <c r="D49" s="44" t="n"/>
      <c r="E49" s="27" t="n">
        <v>4</v>
      </c>
      <c r="F49" s="28" t="n">
        <v>4</v>
      </c>
      <c r="G49" s="27" t="n">
        <v>4</v>
      </c>
      <c r="H49" s="27" t="n">
        <v>4</v>
      </c>
      <c r="I49" s="27" t="n">
        <v>4</v>
      </c>
      <c r="J49" s="27" t="n"/>
    </row>
    <row r="50" ht="18.75" customHeight="1">
      <c r="A50" s="24" t="n">
        <v>10</v>
      </c>
      <c r="B50" s="25" t="n">
        <v>46</v>
      </c>
      <c r="C50" s="23" t="inlineStr">
        <is>
          <t>Student 46</t>
        </is>
      </c>
      <c r="D50" s="26" t="n"/>
      <c r="E50" s="27" t="n">
        <v>5</v>
      </c>
      <c r="F50" s="28" t="n">
        <v>4</v>
      </c>
      <c r="G50" s="27" t="n">
        <v>5</v>
      </c>
      <c r="H50" s="27" t="n">
        <v>5</v>
      </c>
      <c r="I50" s="27" t="n">
        <v>5</v>
      </c>
      <c r="J50" s="27" t="n"/>
    </row>
    <row r="51" ht="18.75" customHeight="1">
      <c r="A51" s="43" t="n"/>
      <c r="B51" s="25" t="n">
        <v>47</v>
      </c>
      <c r="C51" s="23" t="inlineStr">
        <is>
          <t>Student 47</t>
        </is>
      </c>
      <c r="D51" s="43" t="n"/>
      <c r="E51" s="27" t="n">
        <v>5</v>
      </c>
      <c r="F51" s="28" t="n">
        <v>5</v>
      </c>
      <c r="G51" s="27" t="n">
        <v>5</v>
      </c>
      <c r="H51" s="27" t="n">
        <v>5</v>
      </c>
      <c r="I51" s="27" t="n">
        <v>5</v>
      </c>
      <c r="J51" s="27" t="n"/>
    </row>
    <row r="52" ht="18.75" customHeight="1">
      <c r="A52" s="43" t="n"/>
      <c r="B52" s="25" t="n">
        <v>48</v>
      </c>
      <c r="C52" s="23" t="inlineStr">
        <is>
          <t>Student 48</t>
        </is>
      </c>
      <c r="D52" s="43" t="n"/>
      <c r="E52" s="27" t="n">
        <v>5</v>
      </c>
      <c r="F52" s="28" t="n">
        <v>5</v>
      </c>
      <c r="G52" s="27" t="n">
        <v>5</v>
      </c>
      <c r="H52" s="27" t="n">
        <v>5</v>
      </c>
      <c r="I52" s="27" t="n">
        <v>5</v>
      </c>
      <c r="J52" s="27" t="n"/>
    </row>
    <row r="53" ht="18.75" customHeight="1">
      <c r="A53" s="43" t="n"/>
      <c r="B53" s="25" t="n">
        <v>49</v>
      </c>
      <c r="C53" s="23" t="inlineStr">
        <is>
          <t>Student 49</t>
        </is>
      </c>
      <c r="D53" s="43" t="n"/>
      <c r="E53" s="27" t="n">
        <v>3</v>
      </c>
      <c r="F53" s="28" t="n">
        <v>5</v>
      </c>
      <c r="G53" s="27" t="n">
        <v>4</v>
      </c>
      <c r="H53" s="27" t="n">
        <v>3</v>
      </c>
      <c r="I53" s="27" t="n">
        <v>4</v>
      </c>
      <c r="J53" s="27" t="n"/>
    </row>
    <row r="54" ht="18.75" customHeight="1">
      <c r="A54" s="44" t="n"/>
      <c r="B54" s="25" t="n">
        <v>50</v>
      </c>
      <c r="C54" s="23" t="inlineStr">
        <is>
          <t>Student 50</t>
        </is>
      </c>
      <c r="D54" s="44" t="n"/>
      <c r="E54" s="27" t="n">
        <v>5</v>
      </c>
      <c r="F54" s="28" t="n">
        <v>4</v>
      </c>
      <c r="G54" s="27" t="n">
        <v>5</v>
      </c>
      <c r="H54" s="27" t="n">
        <v>5</v>
      </c>
      <c r="I54" s="27" t="n">
        <v>5</v>
      </c>
      <c r="J54" s="27" t="n"/>
    </row>
    <row r="55" ht="18.75" customHeight="1">
      <c r="A55" s="15" t="n"/>
      <c r="B55" s="15" t="n"/>
      <c r="C55" s="23" t="n"/>
      <c r="D55" s="23" t="n"/>
      <c r="E55" s="27" t="n"/>
      <c r="F55" s="28" t="n"/>
      <c r="G55" s="27" t="n"/>
      <c r="H55" s="27" t="n"/>
      <c r="I55" s="27" t="n"/>
      <c r="J55" s="27" t="n"/>
    </row>
    <row r="56" ht="18.75" customHeight="1">
      <c r="A56" s="15" t="inlineStr">
        <is>
          <t>Count&gt;=86.0%</t>
        </is>
      </c>
      <c r="B56" s="15" t="n"/>
      <c r="C56" s="23" t="n"/>
      <c r="D56" s="23" t="n"/>
      <c r="E56" s="15">
        <f>COUNTIF(E5:E54,"&gt;=4.3")</f>
        <v/>
      </c>
      <c r="F56" s="29">
        <f>COUNTIF(F5:F54,"&gt;=4.3")</f>
        <v/>
      </c>
      <c r="G56" s="29">
        <f>COUNTIF(G5:G54,"&gt;=4.3")</f>
        <v/>
      </c>
      <c r="H56" s="29">
        <f>COUNTIF(H5:H54,"&gt;=4.3")</f>
        <v/>
      </c>
      <c r="I56" s="29">
        <f>COUNTIF(I5:I54,"&gt;=4.3")</f>
        <v/>
      </c>
      <c r="J56" s="29" t="n"/>
    </row>
    <row r="57" ht="18.75" customHeight="1">
      <c r="A57" s="15" t="inlineStr">
        <is>
          <t>%Count</t>
        </is>
      </c>
      <c r="B57" s="15" t="n"/>
      <c r="C57" s="23" t="n"/>
      <c r="D57" s="23" t="n"/>
      <c r="E57" s="15">
        <f>ROUND(((E56/50)*100),1)</f>
        <v/>
      </c>
      <c r="F57" s="29">
        <f>ROUND(((F56/50)*100),1)</f>
        <v/>
      </c>
      <c r="G57" s="29">
        <f>ROUND(((G56/50)*100),1)</f>
        <v/>
      </c>
      <c r="H57" s="29">
        <f>ROUND(((H56/50)*100),1)</f>
        <v/>
      </c>
      <c r="I57" s="29">
        <f>ROUND(((I56/50)*100),1)</f>
        <v/>
      </c>
      <c r="J57" s="29" t="n"/>
    </row>
    <row r="58" ht="18.75" customHeight="1">
      <c r="A58" s="15" t="inlineStr">
        <is>
          <t>AL</t>
        </is>
      </c>
      <c r="B58" s="15" t="n"/>
      <c r="C58" s="23" t="n"/>
      <c r="D58" s="23" t="n"/>
      <c r="E58" s="15">
        <f>IF(E57&lt;60,1,IF(AND(E57&gt;59,E57&lt;70),2,IF(AND(E57&gt;69,E57&lt;80),3,4)))</f>
        <v/>
      </c>
      <c r="F58" s="29">
        <f>IF(F57&lt;60,1,IF(AND(F57&gt;59,F57&lt;70),2,IF(AND(F57&gt;69,F57&lt;80),3,4)))</f>
        <v/>
      </c>
      <c r="G58" s="29">
        <f>IF(G57&lt;60,1,IF(AND(G57&gt;59,G57&lt;70),2,IF(AND(G57&gt;69,G57&lt;80),3,4)))</f>
        <v/>
      </c>
      <c r="H58" s="29">
        <f>IF(H57&lt;60,1,IF(AND(H57&gt;59,H57&lt;70),2,IF(AND(H57&gt;69,H57&lt;80),3,4)))</f>
        <v/>
      </c>
      <c r="I58" s="29">
        <f>IF(I57&lt;60,1,IF(AND(I57&gt;59,I57&lt;70),2,IF(AND(I57&gt;69,I57&lt;80),3,4)))</f>
        <v/>
      </c>
      <c r="J58" s="29" t="n"/>
    </row>
    <row r="60">
      <c r="B60" s="39" t="inlineStr">
        <is>
          <t>LOs</t>
        </is>
      </c>
      <c r="C60" s="39" t="inlineStr">
        <is>
          <t>AL</t>
        </is>
      </c>
    </row>
    <row r="61">
      <c r="B61" s="40" t="inlineStr">
        <is>
          <t>LO1</t>
        </is>
      </c>
      <c r="C61" s="40">
        <f>ROUND(AVERAGE(E58),1)</f>
        <v/>
      </c>
    </row>
    <row r="62">
      <c r="B62" s="40" t="inlineStr">
        <is>
          <t>LO2</t>
        </is>
      </c>
      <c r="C62" s="40">
        <f>ROUND(AVERAGE(E58),1)</f>
        <v/>
      </c>
    </row>
    <row r="63">
      <c r="B63" s="40" t="inlineStr">
        <is>
          <t>LO3</t>
        </is>
      </c>
      <c r="C63" s="40">
        <f>ROUND(AVERAGE(F58,I58),1)</f>
        <v/>
      </c>
    </row>
    <row r="64">
      <c r="B64" s="40" t="inlineStr">
        <is>
          <t>LO4</t>
        </is>
      </c>
      <c r="C64" s="40">
        <f>ROUND(AVERAGE(G58),1)</f>
        <v/>
      </c>
    </row>
    <row r="65">
      <c r="B65" s="40" t="inlineStr">
        <is>
          <t>LO5</t>
        </is>
      </c>
      <c r="C65" s="40">
        <f>ROUND(AVERAGE(H58),1)</f>
        <v/>
      </c>
    </row>
  </sheetData>
  <mergeCells count="21">
    <mergeCell ref="A5:A9"/>
    <mergeCell ref="A1:E1"/>
    <mergeCell ref="A20:A24"/>
    <mergeCell ref="D15:D19"/>
    <mergeCell ref="D5:D9"/>
    <mergeCell ref="D30:D34"/>
    <mergeCell ref="D25:D29"/>
    <mergeCell ref="A35:A39"/>
    <mergeCell ref="A10:A14"/>
    <mergeCell ref="D20:D24"/>
    <mergeCell ref="D10:D14"/>
    <mergeCell ref="D35:D39"/>
    <mergeCell ref="A40:A44"/>
    <mergeCell ref="D50:D54"/>
    <mergeCell ref="A30:A34"/>
    <mergeCell ref="A15:A19"/>
    <mergeCell ref="A45:A49"/>
    <mergeCell ref="D40:D44"/>
    <mergeCell ref="D45:D49"/>
    <mergeCell ref="A25:A29"/>
    <mergeCell ref="A50:A5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/>
    <pageSetUpPr/>
  </sheetPr>
  <dimension ref="A1:L68"/>
  <sheetViews>
    <sheetView workbookViewId="0">
      <selection activeCell="A1" sqref="A1"/>
    </sheetView>
  </sheetViews>
  <sheetFormatPr baseColWidth="8" defaultRowHeight="15"/>
  <cols>
    <col width="13.57642857142857" bestFit="1" customWidth="1" style="19" min="1" max="1"/>
    <col width="42.005" bestFit="1" customWidth="1" style="4" min="2" max="2"/>
    <col width="13.57642857142857" bestFit="1" customWidth="1" style="20" min="3" max="3"/>
    <col width="13.57642857142857" bestFit="1" customWidth="1" style="20" min="4" max="4"/>
    <col width="13.57642857142857" bestFit="1" customWidth="1" style="4" min="5" max="5"/>
    <col width="13.57642857142857" bestFit="1" customWidth="1" style="4" min="6" max="6"/>
    <col width="13.57642857142857" bestFit="1" customWidth="1" style="4" min="7" max="7"/>
    <col width="13.57642857142857" bestFit="1" customWidth="1" style="4" min="8" max="8"/>
    <col width="13.57642857142857" bestFit="1" customWidth="1" style="4" min="9" max="9"/>
    <col width="13.57642857142857" bestFit="1" customWidth="1" style="4" min="10" max="10"/>
    <col width="13.57642857142857" bestFit="1" customWidth="1" style="4" min="11" max="11"/>
    <col width="13.57642857142857" bestFit="1" customWidth="1" style="4" min="12" max="12"/>
  </cols>
  <sheetData>
    <row r="1" ht="18.75" customHeight="1">
      <c r="A1" s="6" t="inlineStr">
        <is>
          <t>Type : Assignment                 Maximum Marks for each question = 10</t>
        </is>
      </c>
      <c r="B1" s="37" t="n"/>
      <c r="C1" s="37" t="n"/>
      <c r="D1" s="38" t="n"/>
      <c r="E1" s="8" t="n"/>
      <c r="F1" s="8" t="n"/>
      <c r="G1" s="8" t="n"/>
      <c r="H1" s="8" t="n"/>
      <c r="I1" s="8" t="n"/>
      <c r="J1" s="8" t="n"/>
      <c r="K1" s="8" t="n"/>
      <c r="L1" s="8" t="n"/>
    </row>
    <row r="2" ht="18.75" customHeight="1">
      <c r="A2" s="6" t="inlineStr">
        <is>
          <t>Roll No.</t>
        </is>
      </c>
      <c r="B2" s="7" t="inlineStr">
        <is>
          <t>Name</t>
        </is>
      </c>
      <c r="C2" s="6" t="inlineStr">
        <is>
          <t>Assignment1</t>
        </is>
      </c>
      <c r="D2" s="6" t="inlineStr">
        <is>
          <t>Assignment2</t>
        </is>
      </c>
      <c r="E2" s="8" t="n"/>
      <c r="F2" s="8" t="n"/>
      <c r="G2" s="8" t="n"/>
      <c r="H2" s="8" t="n"/>
      <c r="I2" s="8" t="n"/>
      <c r="J2" s="8" t="n"/>
      <c r="K2" s="8" t="n"/>
      <c r="L2" s="8" t="n"/>
    </row>
    <row r="3" ht="18.75" customHeight="1">
      <c r="A3" s="6" t="inlineStr">
        <is>
          <t>LO --&gt;</t>
        </is>
      </c>
      <c r="B3" s="38" t="n"/>
      <c r="C3" s="6" t="inlineStr">
        <is>
          <t>1,2,3</t>
        </is>
      </c>
      <c r="D3" s="6" t="inlineStr">
        <is>
          <t>3,4,5</t>
        </is>
      </c>
      <c r="E3" s="8" t="n"/>
      <c r="F3" s="8" t="n"/>
      <c r="G3" s="8" t="n"/>
      <c r="H3" s="8" t="n"/>
      <c r="I3" s="8" t="n"/>
      <c r="J3" s="8" t="n"/>
      <c r="K3" s="8" t="n"/>
      <c r="L3" s="8" t="n"/>
    </row>
    <row r="4" ht="18.75" customHeight="1">
      <c r="A4" s="10" t="n">
        <v>1</v>
      </c>
      <c r="B4" s="9" t="n"/>
      <c r="C4" s="10" t="n">
        <v>7</v>
      </c>
      <c r="D4" s="10" t="n">
        <v>7</v>
      </c>
      <c r="E4" s="4" t="n"/>
      <c r="F4" s="4" t="n"/>
      <c r="G4" s="4" t="n"/>
      <c r="H4" s="4" t="n"/>
      <c r="I4" s="4" t="n"/>
      <c r="J4" s="4" t="n"/>
      <c r="K4" s="4" t="n"/>
      <c r="L4" s="4" t="n"/>
    </row>
    <row r="5" ht="18.75" customHeight="1">
      <c r="A5" s="10" t="n">
        <v>2</v>
      </c>
      <c r="B5" s="9" t="n"/>
      <c r="C5" s="10" t="n">
        <v>7</v>
      </c>
      <c r="D5" s="10" t="n">
        <v>6</v>
      </c>
      <c r="E5" s="4" t="n"/>
      <c r="F5" s="4" t="n"/>
      <c r="G5" s="4" t="n"/>
      <c r="H5" s="4" t="n"/>
      <c r="I5" s="4" t="n"/>
      <c r="J5" s="4" t="n"/>
      <c r="K5" s="4" t="n"/>
      <c r="L5" s="4" t="n"/>
    </row>
    <row r="6" ht="18.75" customHeight="1">
      <c r="A6" s="10" t="n">
        <v>3</v>
      </c>
      <c r="B6" s="9" t="n"/>
      <c r="C6" s="10" t="n">
        <v>8</v>
      </c>
      <c r="D6" s="10" t="n">
        <v>7</v>
      </c>
      <c r="E6" s="4" t="n"/>
      <c r="F6" s="4" t="n"/>
      <c r="G6" s="4" t="n"/>
      <c r="H6" s="4" t="n"/>
      <c r="I6" s="4" t="n"/>
      <c r="J6" s="4" t="n"/>
      <c r="K6" s="4" t="n"/>
      <c r="L6" s="4" t="n"/>
    </row>
    <row r="7" ht="18.75" customHeight="1">
      <c r="A7" s="10" t="n">
        <v>4</v>
      </c>
      <c r="B7" s="9" t="n"/>
      <c r="C7" s="10" t="n">
        <v>9</v>
      </c>
      <c r="D7" s="10" t="n">
        <v>8</v>
      </c>
      <c r="E7" s="4" t="n"/>
      <c r="F7" s="4" t="n"/>
      <c r="G7" s="4" t="n"/>
      <c r="H7" s="4" t="n"/>
      <c r="I7" s="4" t="n"/>
      <c r="J7" s="4" t="n"/>
      <c r="K7" s="4" t="n"/>
      <c r="L7" s="4" t="n"/>
    </row>
    <row r="8" ht="18.75" customHeight="1">
      <c r="A8" s="10" t="n">
        <v>5</v>
      </c>
      <c r="B8" s="9" t="n"/>
      <c r="C8" s="10" t="n">
        <v>8</v>
      </c>
      <c r="D8" s="10" t="n">
        <v>7</v>
      </c>
      <c r="E8" s="4" t="n"/>
      <c r="F8" s="4" t="n"/>
      <c r="G8" s="4" t="n"/>
      <c r="H8" s="4" t="n"/>
      <c r="I8" s="4" t="n"/>
      <c r="J8" s="4" t="n"/>
      <c r="K8" s="4" t="n"/>
      <c r="L8" s="4" t="n"/>
    </row>
    <row r="9" ht="18.75" customHeight="1">
      <c r="A9" s="10" t="n">
        <v>6</v>
      </c>
      <c r="B9" s="9" t="n"/>
      <c r="C9" s="10" t="n">
        <v>10</v>
      </c>
      <c r="D9" s="10" t="n">
        <v>5</v>
      </c>
      <c r="E9" s="4" t="n"/>
      <c r="F9" s="4" t="n"/>
      <c r="G9" s="4" t="n"/>
      <c r="H9" s="4" t="n"/>
      <c r="I9" s="4" t="n"/>
      <c r="J9" s="4" t="n"/>
      <c r="K9" s="4" t="n"/>
      <c r="L9" s="4" t="n"/>
    </row>
    <row r="10" ht="18.75" customHeight="1">
      <c r="A10" s="10" t="n">
        <v>7</v>
      </c>
      <c r="B10" s="9" t="n"/>
      <c r="C10" s="10" t="n">
        <v>9</v>
      </c>
      <c r="D10" s="10" t="n">
        <v>7</v>
      </c>
      <c r="E10" s="4" t="n"/>
      <c r="F10" s="4" t="n"/>
      <c r="G10" s="4" t="n"/>
      <c r="H10" s="4" t="n"/>
      <c r="I10" s="4" t="n"/>
      <c r="J10" s="4" t="n"/>
      <c r="K10" s="4" t="n"/>
      <c r="L10" s="4" t="n"/>
    </row>
    <row r="11" ht="18.75" customHeight="1">
      <c r="A11" s="10" t="n">
        <v>8</v>
      </c>
      <c r="B11" s="9" t="n"/>
      <c r="C11" s="10" t="n">
        <v>6</v>
      </c>
      <c r="D11" s="10" t="n">
        <v>9</v>
      </c>
      <c r="E11" s="4" t="n"/>
      <c r="F11" s="4" t="n"/>
      <c r="G11" s="4" t="n"/>
      <c r="H11" s="4" t="n"/>
      <c r="I11" s="4" t="n"/>
      <c r="J11" s="4" t="n"/>
      <c r="K11" s="4" t="n"/>
      <c r="L11" s="4" t="n"/>
    </row>
    <row r="12" ht="18.75" customHeight="1">
      <c r="A12" s="10" t="n">
        <v>9</v>
      </c>
      <c r="B12" s="9" t="n"/>
      <c r="C12" s="10" t="n">
        <v>8</v>
      </c>
      <c r="D12" s="10" t="n">
        <v>10</v>
      </c>
      <c r="E12" s="4" t="n"/>
      <c r="F12" s="4" t="n"/>
      <c r="G12" s="4" t="n"/>
      <c r="H12" s="4" t="n"/>
      <c r="I12" s="4" t="n"/>
      <c r="J12" s="4" t="n"/>
      <c r="K12" s="4" t="n"/>
      <c r="L12" s="4" t="n"/>
    </row>
    <row r="13" ht="18.75" customHeight="1">
      <c r="A13" s="10" t="n">
        <v>10</v>
      </c>
      <c r="B13" s="9" t="n"/>
      <c r="C13" s="10" t="n">
        <v>5</v>
      </c>
      <c r="D13" s="10" t="n">
        <v>10</v>
      </c>
      <c r="E13" s="4" t="n"/>
      <c r="F13" s="4" t="n"/>
      <c r="G13" s="4" t="n"/>
      <c r="H13" s="4" t="n"/>
      <c r="I13" s="4" t="n"/>
      <c r="J13" s="4" t="n"/>
      <c r="K13" s="4" t="n"/>
      <c r="L13" s="4" t="n"/>
    </row>
    <row r="14" ht="18.75" customHeight="1">
      <c r="A14" s="10" t="n">
        <v>11</v>
      </c>
      <c r="B14" s="9" t="n"/>
      <c r="C14" s="10" t="n">
        <v>8</v>
      </c>
      <c r="D14" s="10" t="n">
        <v>6</v>
      </c>
      <c r="E14" s="4" t="n"/>
      <c r="F14" s="4" t="n"/>
      <c r="G14" s="4" t="n"/>
      <c r="H14" s="4" t="n"/>
      <c r="I14" s="4" t="n"/>
      <c r="J14" s="4" t="n"/>
      <c r="K14" s="4" t="n"/>
      <c r="L14" s="4" t="n"/>
    </row>
    <row r="15" ht="18.75" customHeight="1">
      <c r="A15" s="10" t="n">
        <v>12</v>
      </c>
      <c r="B15" s="9" t="n"/>
      <c r="C15" s="10" t="n">
        <v>7</v>
      </c>
      <c r="D15" s="10" t="n">
        <v>7</v>
      </c>
      <c r="E15" s="4" t="n"/>
      <c r="F15" s="4" t="n"/>
      <c r="G15" s="4" t="n"/>
      <c r="H15" s="4" t="n"/>
      <c r="I15" s="4" t="n"/>
      <c r="J15" s="4" t="n"/>
      <c r="K15" s="4" t="n"/>
      <c r="L15" s="4" t="n"/>
    </row>
    <row r="16" ht="18.75" customHeight="1">
      <c r="A16" s="10" t="n">
        <v>13</v>
      </c>
      <c r="B16" s="9" t="n"/>
      <c r="C16" s="10" t="n">
        <v>9</v>
      </c>
      <c r="D16" s="10" t="n">
        <v>9</v>
      </c>
      <c r="E16" s="4" t="n"/>
      <c r="F16" s="4" t="n"/>
      <c r="G16" s="4" t="n"/>
      <c r="H16" s="4" t="n"/>
      <c r="I16" s="4" t="n"/>
      <c r="J16" s="4" t="n"/>
      <c r="K16" s="4" t="n"/>
      <c r="L16" s="4" t="n"/>
    </row>
    <row r="17" ht="18.75" customHeight="1">
      <c r="A17" s="10" t="n">
        <v>14</v>
      </c>
      <c r="B17" s="9" t="n"/>
      <c r="C17" s="10" t="n">
        <v>6</v>
      </c>
      <c r="D17" s="10" t="n">
        <v>7</v>
      </c>
      <c r="E17" s="4" t="n"/>
      <c r="F17" s="4" t="n"/>
      <c r="G17" s="4" t="n"/>
      <c r="H17" s="4" t="n"/>
      <c r="I17" s="4" t="n"/>
      <c r="J17" s="4" t="n"/>
      <c r="K17" s="4" t="n"/>
      <c r="L17" s="4" t="n"/>
    </row>
    <row r="18" ht="18.75" customHeight="1">
      <c r="A18" s="10" t="n">
        <v>15</v>
      </c>
      <c r="B18" s="9" t="n"/>
      <c r="C18" s="10" t="n"/>
      <c r="D18" s="10" t="n">
        <v>8</v>
      </c>
      <c r="E18" s="4" t="n"/>
      <c r="F18" s="4" t="n"/>
      <c r="G18" s="4" t="n"/>
      <c r="H18" s="4" t="n"/>
      <c r="I18" s="4" t="n"/>
      <c r="J18" s="4" t="n"/>
      <c r="K18" s="4" t="n"/>
      <c r="L18" s="4" t="n"/>
    </row>
    <row r="19" ht="18.75" customHeight="1">
      <c r="A19" s="10" t="n">
        <v>16</v>
      </c>
      <c r="B19" s="9" t="n"/>
      <c r="C19" s="10" t="n"/>
      <c r="D19" s="10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 ht="18.75" customHeight="1">
      <c r="A20" s="10" t="n">
        <v>17</v>
      </c>
      <c r="B20" s="9" t="n"/>
      <c r="C20" s="10" t="n">
        <v>7</v>
      </c>
      <c r="D20" s="10" t="n">
        <v>7</v>
      </c>
      <c r="E20" s="4" t="n"/>
      <c r="F20" s="4" t="n"/>
      <c r="G20" s="4" t="n"/>
      <c r="H20" s="4" t="n"/>
      <c r="I20" s="4" t="n"/>
      <c r="J20" s="4" t="n"/>
      <c r="K20" s="4" t="n"/>
      <c r="L20" s="4" t="n"/>
    </row>
    <row r="21" ht="18.75" customHeight="1">
      <c r="A21" s="10" t="n">
        <v>18</v>
      </c>
      <c r="B21" s="9" t="n"/>
      <c r="C21" s="10" t="n">
        <v>7</v>
      </c>
      <c r="D21" s="10" t="n">
        <v>6</v>
      </c>
      <c r="E21" s="4" t="n"/>
      <c r="F21" s="4" t="n"/>
      <c r="G21" s="4" t="n"/>
      <c r="H21" s="4" t="n"/>
      <c r="I21" s="4" t="n"/>
      <c r="J21" s="4" t="n"/>
      <c r="K21" s="4" t="n"/>
      <c r="L21" s="4" t="n"/>
    </row>
    <row r="22" ht="18.75" customHeight="1">
      <c r="A22" s="10" t="n">
        <v>19</v>
      </c>
      <c r="B22" s="9" t="n"/>
      <c r="C22" s="10" t="n">
        <v>8</v>
      </c>
      <c r="D22" s="10" t="n">
        <v>7</v>
      </c>
      <c r="E22" s="4" t="n"/>
      <c r="F22" s="4" t="n"/>
      <c r="G22" s="4" t="n"/>
      <c r="H22" s="4" t="n"/>
      <c r="I22" s="4" t="n"/>
      <c r="J22" s="4" t="n"/>
      <c r="K22" s="4" t="n"/>
      <c r="L22" s="4" t="n"/>
    </row>
    <row r="23" ht="18.75" customHeight="1">
      <c r="A23" s="10" t="n">
        <v>20</v>
      </c>
      <c r="B23" s="9" t="n"/>
      <c r="C23" s="10" t="n">
        <v>9</v>
      </c>
      <c r="D23" s="10" t="n">
        <v>8</v>
      </c>
      <c r="E23" s="4" t="n"/>
      <c r="F23" s="4" t="n"/>
      <c r="G23" s="4" t="n"/>
      <c r="H23" s="4" t="n"/>
      <c r="I23" s="4" t="n"/>
      <c r="J23" s="4" t="n"/>
      <c r="K23" s="4" t="n"/>
      <c r="L23" s="4" t="n"/>
    </row>
    <row r="24" ht="18.75" customHeight="1">
      <c r="A24" s="10" t="n">
        <v>21</v>
      </c>
      <c r="B24" s="9" t="n"/>
      <c r="C24" s="10" t="n">
        <v>8</v>
      </c>
      <c r="D24" s="10" t="n">
        <v>7</v>
      </c>
      <c r="E24" s="4" t="n"/>
      <c r="F24" s="4" t="n"/>
      <c r="G24" s="4" t="n"/>
      <c r="H24" s="4" t="n"/>
      <c r="I24" s="4" t="n"/>
      <c r="J24" s="4" t="n"/>
      <c r="K24" s="4" t="n"/>
      <c r="L24" s="4" t="n"/>
    </row>
    <row r="25" ht="18.75" customHeight="1">
      <c r="A25" s="10" t="n">
        <v>22</v>
      </c>
      <c r="B25" s="9" t="n"/>
      <c r="C25" s="10" t="n">
        <v>10</v>
      </c>
      <c r="D25" s="10" t="n">
        <v>5</v>
      </c>
      <c r="E25" s="4" t="n"/>
      <c r="F25" s="4" t="n"/>
      <c r="G25" s="4" t="n"/>
      <c r="H25" s="4" t="n"/>
      <c r="I25" s="4" t="n"/>
      <c r="J25" s="4" t="n"/>
      <c r="K25" s="4" t="n"/>
      <c r="L25" s="4" t="n"/>
    </row>
    <row r="26" ht="18.75" customHeight="1">
      <c r="A26" s="10" t="n">
        <v>23</v>
      </c>
      <c r="B26" s="9" t="n"/>
      <c r="C26" s="10" t="n">
        <v>9</v>
      </c>
      <c r="D26" s="10" t="n">
        <v>7</v>
      </c>
      <c r="E26" s="4" t="n"/>
      <c r="F26" s="4" t="n"/>
      <c r="G26" s="4" t="n"/>
      <c r="H26" s="4" t="n"/>
      <c r="I26" s="4" t="n"/>
      <c r="J26" s="4" t="n"/>
      <c r="K26" s="4" t="n"/>
      <c r="L26" s="4" t="n"/>
    </row>
    <row r="27" ht="18.75" customHeight="1">
      <c r="A27" s="10" t="n">
        <v>24</v>
      </c>
      <c r="B27" s="9" t="n"/>
      <c r="C27" s="10" t="n">
        <v>6</v>
      </c>
      <c r="D27" s="10" t="n">
        <v>9</v>
      </c>
      <c r="E27" s="4" t="n"/>
      <c r="F27" s="4" t="n"/>
      <c r="G27" s="4" t="n"/>
      <c r="H27" s="4" t="n"/>
      <c r="I27" s="4" t="n"/>
      <c r="J27" s="4" t="n"/>
      <c r="K27" s="4" t="n"/>
      <c r="L27" s="4" t="n"/>
    </row>
    <row r="28" ht="18.75" customHeight="1">
      <c r="A28" s="10" t="n">
        <v>25</v>
      </c>
      <c r="B28" s="9" t="n"/>
      <c r="C28" s="10" t="n">
        <v>8</v>
      </c>
      <c r="D28" s="10" t="n">
        <v>10</v>
      </c>
      <c r="E28" s="4" t="n"/>
      <c r="F28" s="4" t="n"/>
      <c r="G28" s="4" t="n"/>
      <c r="H28" s="4" t="n"/>
      <c r="I28" s="4" t="n"/>
      <c r="J28" s="4" t="n"/>
      <c r="K28" s="4" t="n"/>
      <c r="L28" s="4" t="n"/>
    </row>
    <row r="29" ht="18.75" customHeight="1">
      <c r="A29" s="10" t="n">
        <v>26</v>
      </c>
      <c r="B29" s="9" t="n"/>
      <c r="C29" s="10" t="n">
        <v>5</v>
      </c>
      <c r="D29" s="10" t="n">
        <v>10</v>
      </c>
      <c r="E29" s="4" t="n"/>
      <c r="F29" s="4" t="n"/>
      <c r="G29" s="4" t="n"/>
      <c r="H29" s="4" t="n"/>
      <c r="I29" s="4" t="n"/>
      <c r="J29" s="4" t="n"/>
      <c r="K29" s="4" t="n"/>
      <c r="L29" s="4" t="n"/>
    </row>
    <row r="30" ht="18.75" customHeight="1">
      <c r="A30" s="10" t="n">
        <v>27</v>
      </c>
      <c r="B30" s="9" t="n"/>
      <c r="C30" s="10" t="n">
        <v>8</v>
      </c>
      <c r="D30" s="10" t="n">
        <v>6</v>
      </c>
      <c r="E30" s="4" t="n"/>
      <c r="F30" s="4" t="n"/>
      <c r="G30" s="4" t="n"/>
      <c r="H30" s="4" t="n"/>
      <c r="I30" s="4" t="n"/>
      <c r="J30" s="4" t="n"/>
      <c r="K30" s="4" t="n"/>
      <c r="L30" s="4" t="n"/>
    </row>
    <row r="31" ht="18.75" customHeight="1">
      <c r="A31" s="10" t="n">
        <v>28</v>
      </c>
      <c r="B31" s="9" t="n"/>
      <c r="C31" s="10" t="n">
        <v>7</v>
      </c>
      <c r="D31" s="10" t="n">
        <v>7</v>
      </c>
      <c r="E31" s="4" t="n"/>
      <c r="F31" s="4" t="n"/>
      <c r="G31" s="4" t="n"/>
      <c r="H31" s="4" t="n"/>
      <c r="I31" s="4" t="n"/>
      <c r="J31" s="4" t="n"/>
      <c r="K31" s="4" t="n"/>
      <c r="L31" s="4" t="n"/>
    </row>
    <row r="32" ht="18.75" customHeight="1">
      <c r="A32" s="10" t="n">
        <v>29</v>
      </c>
      <c r="B32" s="9" t="n"/>
      <c r="C32" s="10" t="n">
        <v>9</v>
      </c>
      <c r="D32" s="10" t="n">
        <v>9</v>
      </c>
      <c r="E32" s="4" t="n"/>
      <c r="F32" s="4" t="n"/>
      <c r="G32" s="4" t="n"/>
      <c r="H32" s="4" t="n"/>
      <c r="I32" s="4" t="n"/>
      <c r="J32" s="4" t="n"/>
      <c r="K32" s="4" t="n"/>
      <c r="L32" s="4" t="n"/>
    </row>
    <row r="33" ht="18.75" customHeight="1">
      <c r="A33" s="10" t="n">
        <v>30</v>
      </c>
      <c r="B33" s="9" t="n"/>
      <c r="C33" s="10" t="n">
        <v>6</v>
      </c>
      <c r="D33" s="10" t="n">
        <v>7</v>
      </c>
      <c r="E33" s="4" t="n"/>
      <c r="F33" s="4" t="n"/>
      <c r="G33" s="4" t="n"/>
      <c r="H33" s="4" t="n"/>
      <c r="I33" s="4" t="n"/>
      <c r="J33" s="4" t="n"/>
      <c r="K33" s="4" t="n"/>
      <c r="L33" s="4" t="n"/>
    </row>
    <row r="34" ht="18.75" customHeight="1">
      <c r="A34" s="10" t="n">
        <v>31</v>
      </c>
      <c r="B34" s="9" t="n"/>
      <c r="C34" s="10" t="n">
        <v>7</v>
      </c>
      <c r="D34" s="10" t="n">
        <v>7</v>
      </c>
      <c r="E34" s="4" t="n"/>
      <c r="F34" s="4" t="n"/>
      <c r="G34" s="4" t="n"/>
      <c r="H34" s="4" t="n"/>
      <c r="I34" s="4" t="n"/>
      <c r="J34" s="4" t="n"/>
      <c r="K34" s="4" t="n"/>
      <c r="L34" s="4" t="n"/>
    </row>
    <row r="35" ht="18.75" customHeight="1">
      <c r="A35" s="10" t="n">
        <v>32</v>
      </c>
      <c r="B35" s="9" t="n"/>
      <c r="C35" s="10" t="n">
        <v>7</v>
      </c>
      <c r="D35" s="10" t="n">
        <v>6</v>
      </c>
      <c r="E35" s="4" t="n"/>
      <c r="F35" s="4" t="n"/>
      <c r="G35" s="4" t="n"/>
      <c r="H35" s="4" t="n"/>
      <c r="I35" s="4" t="n"/>
      <c r="J35" s="4" t="n"/>
      <c r="K35" s="4" t="n"/>
      <c r="L35" s="4" t="n"/>
    </row>
    <row r="36" ht="18.75" customHeight="1">
      <c r="A36" s="10" t="n">
        <v>33</v>
      </c>
      <c r="B36" s="9" t="n"/>
      <c r="C36" s="10" t="n">
        <v>8</v>
      </c>
      <c r="D36" s="10" t="n">
        <v>7</v>
      </c>
      <c r="E36" s="4" t="n"/>
      <c r="F36" s="4" t="n"/>
      <c r="G36" s="4" t="n"/>
      <c r="H36" s="4" t="n"/>
      <c r="I36" s="4" t="n"/>
      <c r="J36" s="4" t="n"/>
      <c r="K36" s="4" t="n"/>
      <c r="L36" s="4" t="n"/>
    </row>
    <row r="37" ht="18.75" customHeight="1">
      <c r="A37" s="10" t="n">
        <v>34</v>
      </c>
      <c r="B37" s="9" t="n"/>
      <c r="C37" s="10" t="n">
        <v>9</v>
      </c>
      <c r="D37" s="10" t="n">
        <v>8</v>
      </c>
      <c r="E37" s="4" t="n"/>
      <c r="F37" s="4" t="n"/>
      <c r="G37" s="4" t="n"/>
      <c r="H37" s="4" t="n"/>
      <c r="I37" s="4" t="n"/>
      <c r="J37" s="4" t="n"/>
      <c r="K37" s="4" t="n"/>
      <c r="L37" s="4" t="n"/>
    </row>
    <row r="38" ht="18.75" customHeight="1">
      <c r="A38" s="10" t="n">
        <v>35</v>
      </c>
      <c r="B38" s="9" t="n"/>
      <c r="C38" s="10" t="n">
        <v>8</v>
      </c>
      <c r="D38" s="10" t="n">
        <v>7</v>
      </c>
      <c r="E38" s="4" t="n"/>
      <c r="F38" s="4" t="n"/>
      <c r="G38" s="4" t="n"/>
      <c r="H38" s="4" t="n"/>
      <c r="I38" s="4" t="n"/>
      <c r="J38" s="4" t="n"/>
      <c r="K38" s="4" t="n"/>
      <c r="L38" s="4" t="n"/>
    </row>
    <row r="39" ht="18.75" customHeight="1">
      <c r="A39" s="10" t="n">
        <v>36</v>
      </c>
      <c r="B39" s="9" t="n"/>
      <c r="C39" s="10" t="n">
        <v>10</v>
      </c>
      <c r="D39" s="10" t="n">
        <v>5</v>
      </c>
      <c r="E39" s="4" t="n"/>
      <c r="F39" s="4" t="n"/>
      <c r="G39" s="4" t="n"/>
      <c r="H39" s="4" t="n"/>
      <c r="I39" s="4" t="n"/>
      <c r="J39" s="4" t="n"/>
      <c r="K39" s="4" t="n"/>
      <c r="L39" s="4" t="n"/>
    </row>
    <row r="40" ht="18.75" customHeight="1">
      <c r="A40" s="10" t="n">
        <v>37</v>
      </c>
      <c r="B40" s="9" t="n"/>
      <c r="C40" s="10" t="n">
        <v>9</v>
      </c>
      <c r="D40" s="10" t="n">
        <v>7</v>
      </c>
      <c r="E40" s="4" t="n"/>
      <c r="F40" s="4" t="n"/>
      <c r="G40" s="4" t="n"/>
      <c r="H40" s="4" t="n"/>
      <c r="I40" s="4" t="n"/>
      <c r="J40" s="4" t="n"/>
      <c r="K40" s="4" t="n"/>
      <c r="L40" s="4" t="n"/>
    </row>
    <row r="41" ht="18.75" customHeight="1">
      <c r="A41" s="10" t="n">
        <v>38</v>
      </c>
      <c r="B41" s="9" t="n"/>
      <c r="C41" s="10" t="n">
        <v>6</v>
      </c>
      <c r="D41" s="10" t="n">
        <v>9</v>
      </c>
      <c r="E41" s="4" t="n"/>
      <c r="F41" s="4" t="n"/>
      <c r="G41" s="4" t="n"/>
      <c r="H41" s="4" t="n"/>
      <c r="I41" s="4" t="n"/>
      <c r="J41" s="4" t="n"/>
      <c r="K41" s="4" t="n"/>
      <c r="L41" s="4" t="n"/>
    </row>
    <row r="42" ht="18.75" customHeight="1">
      <c r="A42" s="10" t="n">
        <v>39</v>
      </c>
      <c r="B42" s="9" t="n"/>
      <c r="C42" s="10" t="n">
        <v>8</v>
      </c>
      <c r="D42" s="10" t="n">
        <v>10</v>
      </c>
      <c r="E42" s="4" t="n"/>
      <c r="F42" s="4" t="n"/>
      <c r="G42" s="4" t="n"/>
      <c r="H42" s="4" t="n"/>
      <c r="I42" s="4" t="n"/>
      <c r="J42" s="4" t="n"/>
      <c r="K42" s="4" t="n"/>
      <c r="L42" s="4" t="n"/>
    </row>
    <row r="43" ht="18.75" customHeight="1">
      <c r="A43" s="10" t="n">
        <v>40</v>
      </c>
      <c r="B43" s="9" t="n"/>
      <c r="C43" s="10" t="n">
        <v>5</v>
      </c>
      <c r="D43" s="10" t="n">
        <v>10</v>
      </c>
      <c r="E43" s="4" t="n"/>
      <c r="F43" s="4" t="n"/>
      <c r="G43" s="4" t="n"/>
      <c r="H43" s="4" t="n"/>
      <c r="I43" s="4" t="n"/>
      <c r="J43" s="4" t="n"/>
      <c r="K43" s="4" t="n"/>
      <c r="L43" s="4" t="n"/>
    </row>
    <row r="44" ht="18.75" customHeight="1">
      <c r="A44" s="10" t="n">
        <v>41</v>
      </c>
      <c r="B44" s="9" t="n"/>
      <c r="C44" s="10" t="n">
        <v>8</v>
      </c>
      <c r="D44" s="10" t="n">
        <v>6</v>
      </c>
      <c r="E44" s="4" t="n"/>
      <c r="F44" s="4" t="n"/>
      <c r="G44" s="4" t="n"/>
      <c r="H44" s="4" t="n"/>
      <c r="I44" s="4" t="n"/>
      <c r="J44" s="4" t="n"/>
      <c r="K44" s="4" t="n"/>
      <c r="L44" s="4" t="n"/>
    </row>
    <row r="45" ht="18.75" customHeight="1">
      <c r="A45" s="10" t="n">
        <v>42</v>
      </c>
      <c r="B45" s="9" t="n"/>
      <c r="C45" s="10" t="n">
        <v>7</v>
      </c>
      <c r="D45" s="10" t="n">
        <v>7</v>
      </c>
      <c r="E45" s="4" t="n"/>
      <c r="F45" s="4" t="n"/>
      <c r="G45" s="4" t="n"/>
      <c r="H45" s="4" t="n"/>
      <c r="I45" s="4" t="n"/>
      <c r="J45" s="4" t="n"/>
      <c r="K45" s="4" t="n"/>
      <c r="L45" s="4" t="n"/>
    </row>
    <row r="46" ht="18.75" customHeight="1">
      <c r="A46" s="10" t="n">
        <v>43</v>
      </c>
      <c r="B46" s="9" t="n"/>
      <c r="C46" s="11" t="n"/>
      <c r="D46" s="12" t="n"/>
      <c r="E46" s="4" t="n"/>
      <c r="F46" s="4" t="n"/>
      <c r="G46" s="4" t="n"/>
      <c r="H46" s="4" t="n"/>
      <c r="I46" s="4" t="n"/>
      <c r="J46" s="4" t="n"/>
      <c r="K46" s="4" t="n"/>
      <c r="L46" s="4" t="n"/>
    </row>
    <row r="47" ht="18.75" customHeight="1">
      <c r="A47" s="10" t="n">
        <v>44</v>
      </c>
      <c r="B47" s="9" t="n"/>
      <c r="C47" s="13" t="n">
        <v>7</v>
      </c>
      <c r="D47" s="14" t="n">
        <v>7</v>
      </c>
      <c r="E47" s="4" t="n"/>
      <c r="F47" s="4" t="n"/>
      <c r="G47" s="4" t="n"/>
      <c r="H47" s="4" t="n"/>
      <c r="I47" s="4" t="n"/>
      <c r="J47" s="4" t="n"/>
      <c r="K47" s="4" t="n"/>
      <c r="L47" s="4" t="n"/>
    </row>
    <row r="48" ht="18.75" customHeight="1">
      <c r="A48" s="10" t="n">
        <v>45</v>
      </c>
      <c r="B48" s="9" t="n"/>
      <c r="C48" s="13" t="n">
        <v>7</v>
      </c>
      <c r="D48" s="14" t="n">
        <v>6</v>
      </c>
      <c r="E48" s="4" t="n"/>
      <c r="F48" s="4" t="n"/>
      <c r="G48" s="4" t="n"/>
      <c r="H48" s="4" t="n"/>
      <c r="I48" s="4" t="n"/>
      <c r="J48" s="4" t="n"/>
      <c r="K48" s="4" t="n"/>
      <c r="L48" s="4" t="n"/>
    </row>
    <row r="49" ht="18.75" customHeight="1">
      <c r="A49" s="10" t="n">
        <v>46</v>
      </c>
      <c r="B49" s="9" t="n"/>
      <c r="C49" s="13" t="n">
        <v>8</v>
      </c>
      <c r="D49" s="14" t="n">
        <v>7</v>
      </c>
      <c r="E49" s="4" t="n"/>
      <c r="F49" s="4" t="n"/>
      <c r="G49" s="4" t="n"/>
      <c r="H49" s="4" t="n"/>
      <c r="I49" s="4" t="n"/>
      <c r="J49" s="4" t="n"/>
      <c r="K49" s="4" t="n"/>
      <c r="L49" s="4" t="n"/>
    </row>
    <row r="50" ht="18.75" customHeight="1">
      <c r="A50" s="10" t="n">
        <v>47</v>
      </c>
      <c r="B50" s="9" t="n"/>
      <c r="C50" s="13" t="n">
        <v>9</v>
      </c>
      <c r="D50" s="14" t="n">
        <v>8</v>
      </c>
      <c r="E50" s="4" t="n"/>
      <c r="F50" s="4" t="n"/>
      <c r="G50" s="4" t="n"/>
      <c r="H50" s="4" t="n"/>
      <c r="I50" s="4" t="n"/>
      <c r="J50" s="4" t="n"/>
      <c r="K50" s="4" t="n"/>
      <c r="L50" s="4" t="n"/>
    </row>
    <row r="51" ht="18.75" customHeight="1">
      <c r="A51" s="10" t="n">
        <v>48</v>
      </c>
      <c r="B51" s="9" t="n"/>
      <c r="C51" s="13" t="n">
        <v>8</v>
      </c>
      <c r="D51" s="14" t="n">
        <v>7</v>
      </c>
      <c r="E51" s="4" t="n"/>
      <c r="F51" s="4" t="n"/>
      <c r="G51" s="4" t="n"/>
      <c r="H51" s="4" t="n"/>
      <c r="I51" s="4" t="n"/>
      <c r="J51" s="4" t="n"/>
      <c r="K51" s="4" t="n"/>
      <c r="L51" s="4" t="n"/>
    </row>
    <row r="52" ht="18.75" customHeight="1">
      <c r="A52" s="10" t="n">
        <v>49</v>
      </c>
      <c r="B52" s="9" t="n"/>
      <c r="C52" s="13" t="n">
        <v>10</v>
      </c>
      <c r="D52" s="14" t="n">
        <v>5</v>
      </c>
      <c r="E52" s="4" t="n"/>
      <c r="F52" s="4" t="n"/>
      <c r="G52" s="4" t="n"/>
      <c r="H52" s="4" t="n"/>
      <c r="I52" s="4" t="n"/>
      <c r="J52" s="4" t="n"/>
      <c r="K52" s="4" t="n"/>
      <c r="L52" s="4" t="n"/>
    </row>
    <row r="53" ht="18.75" customHeight="1">
      <c r="A53" s="10" t="n">
        <v>50</v>
      </c>
      <c r="B53" s="9" t="n"/>
      <c r="C53" s="13" t="n">
        <v>9</v>
      </c>
      <c r="D53" s="14" t="n">
        <v>7</v>
      </c>
      <c r="E53" s="4" t="n"/>
      <c r="F53" s="4" t="n"/>
      <c r="G53" s="4" t="n"/>
      <c r="H53" s="4" t="n"/>
      <c r="I53" s="4" t="n"/>
      <c r="J53" s="4" t="n"/>
      <c r="K53" s="4" t="n"/>
      <c r="L53" s="4" t="n"/>
    </row>
    <row r="54" ht="18.75" customHeight="1">
      <c r="A54" s="15" t="inlineStr">
        <is>
          <t>Count(Attempted)</t>
        </is>
      </c>
      <c r="B54" s="38" t="n"/>
      <c r="C54" s="10">
        <f>COUNT(C4:C53)</f>
        <v/>
      </c>
      <c r="D54" s="10">
        <f>COUNT(D4:D53)</f>
        <v/>
      </c>
      <c r="E54" s="4" t="n"/>
      <c r="F54" s="4" t="n"/>
      <c r="G54" s="4" t="n"/>
      <c r="H54" s="4" t="n"/>
      <c r="I54" s="4" t="n"/>
      <c r="J54" s="4" t="n"/>
      <c r="K54" s="4" t="n"/>
      <c r="L54" s="4" t="n"/>
    </row>
    <row r="55" ht="18.75" customHeight="1">
      <c r="A55" s="15" t="inlineStr">
        <is>
          <t>Average Marks</t>
        </is>
      </c>
      <c r="B55" s="38" t="n"/>
      <c r="C55" s="10">
        <f>ROUND(AVERAGE(C4:C53), 0)</f>
        <v/>
      </c>
      <c r="D55" s="10">
        <f>ROUND(AVERAGE(D4:D53), 0)</f>
        <v/>
      </c>
      <c r="E55" s="4" t="n"/>
      <c r="F55" s="4" t="n"/>
      <c r="G55" s="4" t="n"/>
      <c r="H55" s="4" t="n"/>
      <c r="I55" s="4" t="n"/>
      <c r="J55" s="4" t="n"/>
      <c r="K55" s="4" t="n"/>
      <c r="L55" s="4" t="n"/>
    </row>
    <row r="56" ht="18.75" customHeight="1">
      <c r="A56" s="15" t="inlineStr">
        <is>
          <t>Count(&gt;=76.0%)</t>
        </is>
      </c>
      <c r="B56" s="38" t="n"/>
      <c r="C56" s="10">
        <f>COUNTIF(C4:C53, "&gt;=7.6")</f>
        <v/>
      </c>
      <c r="D56" s="10">
        <f>COUNTIF(D4:D53, "&gt;=7.6")</f>
        <v/>
      </c>
      <c r="E56" s="4" t="n"/>
      <c r="F56" s="4" t="n"/>
      <c r="G56" s="4" t="n"/>
      <c r="H56" s="4" t="n"/>
      <c r="I56" s="4" t="n"/>
      <c r="J56" s="4" t="n"/>
      <c r="K56" s="4" t="n"/>
      <c r="L56" s="4" t="n"/>
    </row>
    <row r="57" ht="18.75" customHeight="1">
      <c r="A57" s="15" t="inlineStr">
        <is>
          <t>% Count(&gt;=76.0% w.r.t appeared)</t>
        </is>
      </c>
      <c r="B57" s="38" t="n"/>
      <c r="C57" s="10">
        <f>ROUND(C56 / C54 * 100, 1)</f>
        <v/>
      </c>
      <c r="D57" s="10">
        <f>ROUND(D56 / D54 * 100, 1)</f>
        <v/>
      </c>
      <c r="E57" s="4" t="n"/>
      <c r="F57" s="4" t="n"/>
      <c r="G57" s="4" t="n"/>
      <c r="H57" s="4" t="n"/>
      <c r="I57" s="4" t="n"/>
      <c r="J57" s="4" t="n"/>
      <c r="K57" s="4" t="n"/>
      <c r="L57" s="4" t="n"/>
    </row>
    <row r="58" ht="18.75" customHeight="1">
      <c r="A58" s="15" t="inlineStr">
        <is>
          <t>Count(&gt;=Average Marks of class)</t>
        </is>
      </c>
      <c r="B58" s="38" t="n"/>
      <c r="C58" s="10">
        <f>COUNTIF(C3:C53, "&gt;="&amp;C55)</f>
        <v/>
      </c>
      <c r="D58" s="10">
        <f>COUNTIF(D3:D53, "&gt;="&amp;D55)</f>
        <v/>
      </c>
      <c r="E58" s="4" t="n"/>
      <c r="F58" s="4" t="n"/>
      <c r="G58" s="4" t="n"/>
      <c r="H58" s="4" t="n"/>
      <c r="I58" s="4" t="n"/>
      <c r="J58" s="4" t="n"/>
      <c r="K58" s="4" t="n"/>
      <c r="L58" s="4" t="n"/>
    </row>
    <row r="59" ht="18.75" customHeight="1">
      <c r="A59" s="15" t="inlineStr">
        <is>
          <t>% Count(&gt;=Average Marks of class w.r.t appeared)</t>
        </is>
      </c>
      <c r="B59" s="38" t="n"/>
      <c r="C59" s="10">
        <f>ROUND(C58 / C54 * 100, 1)</f>
        <v/>
      </c>
      <c r="D59" s="10">
        <f>ROUND(D58 / D54 * 100, 1)</f>
        <v/>
      </c>
      <c r="E59" s="4" t="n"/>
      <c r="F59" s="4" t="n"/>
      <c r="G59" s="4" t="n"/>
      <c r="H59" s="4" t="n"/>
      <c r="I59" s="4" t="n"/>
      <c r="J59" s="4" t="n"/>
      <c r="K59" s="4" t="n"/>
      <c r="L59" s="4" t="n"/>
    </row>
    <row r="60" ht="18.75" customHeight="1">
      <c r="A60" s="16" t="inlineStr">
        <is>
          <t>AL(Based on &gt;=76.0% Count) (All LOs)</t>
        </is>
      </c>
      <c r="B60" s="38" t="n"/>
      <c r="C60" s="10">
        <f>IF(C57&lt;60, 1, IF(AND(C57&gt;59, C57&lt;70), 2, IF(AND(C57&gt;69, C57&lt;80), 3, 4)))</f>
        <v/>
      </c>
      <c r="D60" s="6">
        <f>IF(D57&lt;60, 1, IF(AND(D57&gt;59, D57&lt;70), 2, IF(AND(D57&gt;69, D57&lt;80), 3, 4)))</f>
        <v/>
      </c>
      <c r="E60" s="4" t="n"/>
      <c r="F60" s="4" t="n"/>
      <c r="G60" s="4" t="n"/>
      <c r="H60" s="4" t="n"/>
      <c r="I60" s="4" t="n"/>
      <c r="J60" s="4" t="n"/>
      <c r="K60" s="4" t="n"/>
      <c r="L60" s="4" t="n"/>
    </row>
    <row r="61" ht="18.75" customHeight="1">
      <c r="A61" s="45" t="n"/>
      <c r="C61" s="20" t="n"/>
      <c r="D61" s="20" t="n"/>
      <c r="E61" s="4" t="n"/>
      <c r="F61" s="4" t="n"/>
      <c r="G61" s="4" t="n"/>
      <c r="H61" s="4" t="n"/>
      <c r="I61" s="4" t="n"/>
      <c r="J61" s="4" t="n"/>
      <c r="K61" s="4" t="n"/>
      <c r="L61" s="4" t="n"/>
    </row>
    <row r="62" ht="18.75" customHeight="1">
      <c r="A62" s="19" t="n"/>
      <c r="B62" s="4" t="n"/>
      <c r="C62" s="20" t="n"/>
      <c r="D62" s="20" t="n"/>
      <c r="E62" s="4" t="n"/>
      <c r="F62" s="4" t="n"/>
      <c r="G62" s="4" t="n"/>
      <c r="H62" s="4" t="n"/>
      <c r="I62" s="4" t="n"/>
      <c r="J62" s="4" t="n"/>
      <c r="K62" s="4" t="n"/>
      <c r="L62" s="4" t="n"/>
    </row>
    <row r="63" ht="18.75" customHeight="1">
      <c r="A63" s="19" t="n"/>
      <c r="B63" s="4" t="n"/>
      <c r="C63" s="6" t="inlineStr">
        <is>
          <t>LOs</t>
        </is>
      </c>
      <c r="D63" s="6" t="inlineStr">
        <is>
          <t>AL</t>
        </is>
      </c>
      <c r="E63" s="4" t="n"/>
      <c r="F63" s="4" t="n"/>
      <c r="G63" s="4" t="n"/>
      <c r="H63" s="4" t="n"/>
      <c r="I63" s="4" t="n"/>
      <c r="J63" s="4" t="n"/>
      <c r="K63" s="4" t="n"/>
      <c r="L63" s="4" t="n"/>
    </row>
    <row r="64" ht="18.75" customHeight="1">
      <c r="A64" s="19" t="n"/>
      <c r="B64" s="4" t="n"/>
      <c r="C64" s="46" t="inlineStr">
        <is>
          <t>LO1</t>
        </is>
      </c>
      <c r="D64" s="46">
        <f>ROUND(AVERAGE(C60),1)</f>
        <v/>
      </c>
      <c r="E64" s="4" t="n"/>
      <c r="F64" s="4" t="n"/>
      <c r="G64" s="4" t="n"/>
      <c r="H64" s="4" t="n"/>
      <c r="I64" s="4" t="n"/>
      <c r="J64" s="4" t="n"/>
      <c r="K64" s="4" t="n"/>
      <c r="L64" s="4" t="n"/>
    </row>
    <row r="65" ht="18.75" customHeight="1">
      <c r="A65" s="19" t="n"/>
      <c r="B65" s="4" t="n"/>
      <c r="C65" s="46" t="inlineStr">
        <is>
          <t>LO2</t>
        </is>
      </c>
      <c r="D65" s="46">
        <f>ROUND(AVERAGE(C60),1)</f>
        <v/>
      </c>
      <c r="E65" s="4" t="n"/>
      <c r="F65" s="4" t="n"/>
      <c r="G65" s="4" t="n"/>
      <c r="H65" s="4" t="n"/>
      <c r="I65" s="4" t="n"/>
      <c r="J65" s="4" t="n"/>
      <c r="K65" s="4" t="n"/>
      <c r="L65" s="4" t="n"/>
    </row>
    <row r="66" ht="18.75" customHeight="1">
      <c r="A66" s="19" t="n"/>
      <c r="B66" s="4" t="n"/>
      <c r="C66" s="46" t="inlineStr">
        <is>
          <t>LO3</t>
        </is>
      </c>
      <c r="D66" s="46">
        <f>ROUND(AVERAGE(C60,D60),1)</f>
        <v/>
      </c>
      <c r="E66" s="4" t="n"/>
      <c r="F66" s="4" t="n"/>
      <c r="G66" s="4" t="n"/>
      <c r="H66" s="4" t="n"/>
      <c r="I66" s="4" t="n"/>
      <c r="J66" s="4" t="n"/>
      <c r="K66" s="4" t="n"/>
      <c r="L66" s="4" t="n"/>
    </row>
    <row r="67" ht="18.75" customHeight="1">
      <c r="A67" s="19" t="n"/>
      <c r="B67" s="4" t="n"/>
      <c r="C67" s="46" t="inlineStr">
        <is>
          <t>LO4</t>
        </is>
      </c>
      <c r="D67" s="46">
        <f>ROUND(AVERAGE(D60),1)</f>
        <v/>
      </c>
      <c r="E67" s="4" t="n"/>
      <c r="F67" s="4" t="n"/>
      <c r="G67" s="4" t="n"/>
      <c r="H67" s="4" t="n"/>
      <c r="I67" s="4" t="n"/>
      <c r="J67" s="4" t="n"/>
      <c r="K67" s="4" t="n"/>
      <c r="L67" s="4" t="n"/>
    </row>
    <row r="68" ht="18.75" customHeight="1">
      <c r="A68" s="19" t="n"/>
      <c r="B68" s="4" t="n"/>
      <c r="C68" s="46" t="inlineStr">
        <is>
          <t>LO5</t>
        </is>
      </c>
      <c r="D68" s="46">
        <f>ROUND(AVERAGE(D60),1)</f>
        <v/>
      </c>
      <c r="E68" s="4" t="n"/>
      <c r="F68" s="4" t="n"/>
      <c r="G68" s="4" t="n"/>
      <c r="H68" s="4" t="n"/>
      <c r="I68" s="4" t="n"/>
      <c r="J68" s="4" t="n"/>
      <c r="K68" s="4" t="n"/>
      <c r="L68" s="4" t="n"/>
    </row>
  </sheetData>
  <mergeCells count="10">
    <mergeCell ref="A1:D1"/>
    <mergeCell ref="A3:B3"/>
    <mergeCell ref="A54:B54"/>
    <mergeCell ref="A59:B59"/>
    <mergeCell ref="A57:B57"/>
    <mergeCell ref="A60:B60"/>
    <mergeCell ref="A56:B56"/>
    <mergeCell ref="A61:B61"/>
    <mergeCell ref="A58:B58"/>
    <mergeCell ref="A55:B5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/>
    <pageSetUpPr/>
  </sheetPr>
  <dimension ref="A1:B10"/>
  <sheetViews>
    <sheetView workbookViewId="0">
      <selection activeCell="A1" sqref="A1"/>
    </sheetView>
  </sheetViews>
  <sheetFormatPr baseColWidth="8" defaultRowHeight="15"/>
  <cols>
    <col width="13.57642857142857" bestFit="1" customWidth="1" style="4" min="1" max="1"/>
    <col width="13.57642857142857" bestFit="1" customWidth="1" style="5" min="2" max="2"/>
  </cols>
  <sheetData>
    <row r="1" ht="18.75" customHeight="1">
      <c r="A1" s="4" t="inlineStr">
        <is>
          <t>DSA</t>
        </is>
      </c>
      <c r="B1" s="5" t="n"/>
    </row>
    <row r="2" ht="18.75" customHeight="1">
      <c r="A2" s="4" t="n"/>
      <c r="B2" s="5" t="n"/>
    </row>
    <row r="3" ht="18.75" customHeight="1">
      <c r="A3" s="4" t="inlineStr">
        <is>
          <t>Total Students</t>
        </is>
      </c>
      <c r="B3" s="3" t="n">
        <v>50</v>
      </c>
    </row>
    <row r="4" ht="18.75" customHeight="1">
      <c r="A4" s="4" t="inlineStr">
        <is>
          <t>LOsCount</t>
        </is>
      </c>
      <c r="B4" s="3" t="n">
        <v>5</v>
      </c>
    </row>
    <row r="5" ht="18.75" customHeight="1">
      <c r="A5" s="4" t="inlineStr">
        <is>
          <t>Labs</t>
        </is>
      </c>
      <c r="B5" s="3" t="n">
        <v>56</v>
      </c>
    </row>
    <row r="6" ht="18.75" customHeight="1">
      <c r="A6" s="4" t="inlineStr">
        <is>
          <t>Orals</t>
        </is>
      </c>
      <c r="B6" s="3" t="n">
        <v>66</v>
      </c>
    </row>
    <row r="7" ht="18.75" customHeight="1">
      <c r="A7" s="4" t="inlineStr">
        <is>
          <t>Assignment</t>
        </is>
      </c>
      <c r="B7" s="3" t="n">
        <v>76</v>
      </c>
    </row>
    <row r="8" ht="18.75" customHeight="1">
      <c r="A8" s="4" t="inlineStr">
        <is>
          <t>MiniProject</t>
        </is>
      </c>
      <c r="B8" s="3" t="n">
        <v>86</v>
      </c>
    </row>
    <row r="9" ht="18.75" customHeight="1">
      <c r="A9" s="4" t="inlineStr">
        <is>
          <t>lab_type</t>
        </is>
      </c>
      <c r="B9" s="5" t="inlineStr">
        <is>
          <t>non-group</t>
        </is>
      </c>
    </row>
    <row r="10" ht="18.75" customHeight="1">
      <c r="A10" s="4" t="inlineStr">
        <is>
          <t>assignmentCount</t>
        </is>
      </c>
      <c r="B10" s="3" t="n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2024-12-30T14:16:56Z</dcterms:created>
  <dcterms:modified xsi:type="dcterms:W3CDTF">2024-12-30T14:47:53Z</dcterms:modified>
</cp:coreProperties>
</file>