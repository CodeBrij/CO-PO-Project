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1000" windowHeight="9120" tabRatio="600" firstSheet="0" activeTab="7" autoFilterDateGrouping="1"/>
  </bookViews>
  <sheets>
    <sheet name="Midsem" sheetId="1" state="visible" r:id="rId1"/>
    <sheet name="Endsem" sheetId="2" state="visible" r:id="rId2"/>
    <sheet name="CA1" sheetId="3" state="visible" r:id="rId3"/>
    <sheet name="CA2" sheetId="4" state="visible" r:id="rId4"/>
    <sheet name="CA3" sheetId="5" state="visible" r:id="rId5"/>
    <sheet name="Survey" sheetId="6" state="visible" r:id="rId6"/>
    <sheet name="Attainment" sheetId="7" state="visible" r:id="rId7"/>
    <sheet name="PO Attainment" sheetId="8" state="visible" r:id="rId8"/>
    <sheet name="CO Information" sheetId="9" state="visible" r:id="rId9"/>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5">
    <font>
      <name val="Calibri"/>
      <charset val="134"/>
      <color theme="1"/>
      <sz val="11"/>
      <scheme val="minor"/>
    </font>
    <font>
      <name val="Calibri"/>
      <charset val="134"/>
      <b val="1"/>
      <sz val="11"/>
      <scheme val="minor"/>
    </font>
    <font>
      <name val="Times New Roman"/>
      <charset val="134"/>
      <color theme="1"/>
      <sz val="11"/>
    </font>
    <font>
      <name val="Arial"/>
      <charset val="134"/>
      <color theme="1"/>
      <sz val="10"/>
    </font>
    <font>
      <name val="Calibri"/>
      <charset val="134"/>
      <color rgb="FF000000"/>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b val="1"/>
    </font>
  </fonts>
  <fills count="34">
    <fill>
      <patternFill/>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00000000"/>
      </left>
      <right style="thin">
        <color rgb="00000000"/>
      </right>
      <top style="thin">
        <color rgb="00000000"/>
      </top>
      <bottom/>
    </border>
    <border>
      <left style="thin">
        <color rgb="00000000"/>
      </left>
      <right style="thin">
        <color rgb="00000000"/>
      </right>
      <top/>
      <bottom/>
    </border>
    <border>
      <left style="thin">
        <color rgb="00000000"/>
      </left>
      <right style="thin">
        <color rgb="00000000"/>
      </right>
      <top/>
      <bottom style="thin">
        <color rgb="00000000"/>
      </bottom>
    </border>
    <border>
      <left style="thin">
        <color rgb="00000000"/>
      </left>
      <right style="thin">
        <color rgb="00000000"/>
      </right>
      <top style="thin">
        <color rgb="00000000"/>
      </top>
      <bottom style="thin">
        <color rgb="00000000"/>
      </bottom>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5" fillId="0" borderId="0" applyAlignment="1">
      <alignment vertical="center"/>
    </xf>
    <xf numFmtId="0" fontId="6" fillId="0" borderId="0" applyAlignment="1">
      <alignment vertical="center"/>
    </xf>
    <xf numFmtId="0" fontId="0" fillId="3" borderId="9"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10" applyAlignment="1">
      <alignment vertical="center"/>
    </xf>
    <xf numFmtId="0" fontId="11" fillId="0" borderId="10" applyAlignment="1">
      <alignment vertical="center"/>
    </xf>
    <xf numFmtId="0" fontId="12" fillId="0" borderId="11" applyAlignment="1">
      <alignment vertical="center"/>
    </xf>
    <xf numFmtId="0" fontId="12" fillId="0" borderId="0" applyAlignment="1">
      <alignment vertical="center"/>
    </xf>
    <xf numFmtId="0" fontId="13" fillId="4" borderId="12" applyAlignment="1">
      <alignment vertical="center"/>
    </xf>
    <xf numFmtId="0" fontId="14" fillId="5" borderId="13" applyAlignment="1">
      <alignment vertical="center"/>
    </xf>
    <xf numFmtId="0" fontId="15" fillId="5" borderId="12" applyAlignment="1">
      <alignment vertical="center"/>
    </xf>
    <xf numFmtId="0" fontId="16" fillId="6" borderId="14" applyAlignment="1">
      <alignment vertical="center"/>
    </xf>
    <xf numFmtId="0" fontId="17" fillId="0" borderId="15" applyAlignment="1">
      <alignment vertical="center"/>
    </xf>
    <xf numFmtId="0" fontId="18" fillId="0" borderId="16" applyAlignment="1">
      <alignment vertical="center"/>
    </xf>
    <xf numFmtId="0" fontId="19" fillId="7" borderId="0" applyAlignment="1">
      <alignment vertical="center"/>
    </xf>
    <xf numFmtId="0" fontId="20" fillId="8" borderId="0" applyAlignment="1">
      <alignment vertical="center"/>
    </xf>
    <xf numFmtId="0" fontId="21" fillId="9" borderId="0" applyAlignment="1">
      <alignment vertical="center"/>
    </xf>
    <xf numFmtId="0" fontId="22" fillId="10" borderId="0" applyAlignment="1">
      <alignment vertical="center"/>
    </xf>
    <xf numFmtId="0" fontId="23" fillId="11" borderId="0" applyAlignment="1">
      <alignment vertical="center"/>
    </xf>
    <xf numFmtId="0" fontId="23" fillId="12" borderId="0" applyAlignment="1">
      <alignment vertical="center"/>
    </xf>
    <xf numFmtId="0" fontId="22" fillId="13" borderId="0" applyAlignment="1">
      <alignment vertical="center"/>
    </xf>
    <xf numFmtId="0" fontId="22" fillId="14" borderId="0" applyAlignment="1">
      <alignment vertical="center"/>
    </xf>
    <xf numFmtId="0" fontId="23" fillId="15" borderId="0" applyAlignment="1">
      <alignment vertical="center"/>
    </xf>
    <xf numFmtId="0" fontId="23" fillId="16" borderId="0" applyAlignment="1">
      <alignment vertical="center"/>
    </xf>
    <xf numFmtId="0" fontId="22" fillId="17" borderId="0" applyAlignment="1">
      <alignment vertical="center"/>
    </xf>
    <xf numFmtId="0" fontId="22" fillId="18" borderId="0" applyAlignment="1">
      <alignment vertical="center"/>
    </xf>
    <xf numFmtId="0" fontId="23" fillId="19" borderId="0" applyAlignment="1">
      <alignment vertical="center"/>
    </xf>
    <xf numFmtId="0" fontId="23" fillId="20" borderId="0" applyAlignment="1">
      <alignment vertical="center"/>
    </xf>
    <xf numFmtId="0" fontId="22" fillId="21" borderId="0" applyAlignment="1">
      <alignment vertical="center"/>
    </xf>
    <xf numFmtId="0" fontId="22" fillId="22" borderId="0" applyAlignment="1">
      <alignment vertical="center"/>
    </xf>
    <xf numFmtId="0" fontId="23" fillId="23" borderId="0" applyAlignment="1">
      <alignment vertical="center"/>
    </xf>
    <xf numFmtId="0" fontId="23" fillId="24" borderId="0" applyAlignment="1">
      <alignment vertical="center"/>
    </xf>
    <xf numFmtId="0" fontId="22" fillId="25" borderId="0" applyAlignment="1">
      <alignment vertical="center"/>
    </xf>
    <xf numFmtId="0" fontId="22" fillId="26" borderId="0" applyAlignment="1">
      <alignment vertical="center"/>
    </xf>
    <xf numFmtId="0" fontId="23" fillId="27" borderId="0" applyAlignment="1">
      <alignment vertical="center"/>
    </xf>
    <xf numFmtId="0" fontId="23" fillId="28" borderId="0" applyAlignment="1">
      <alignment vertical="center"/>
    </xf>
    <xf numFmtId="0" fontId="22" fillId="29" borderId="0" applyAlignment="1">
      <alignment vertical="center"/>
    </xf>
    <xf numFmtId="0" fontId="22" fillId="30" borderId="0" applyAlignment="1">
      <alignment vertical="center"/>
    </xf>
    <xf numFmtId="0" fontId="23" fillId="31" borderId="0" applyAlignment="1">
      <alignment vertical="center"/>
    </xf>
    <xf numFmtId="0" fontId="23" fillId="32" borderId="0" applyAlignment="1">
      <alignment vertical="center"/>
    </xf>
    <xf numFmtId="0" fontId="22" fillId="33" borderId="0" applyAlignment="1">
      <alignment vertical="center"/>
    </xf>
  </cellStyleXfs>
  <cellXfs count="38">
    <xf numFmtId="0" fontId="0" fillId="0" borderId="0" pivotButton="0" quotePrefix="0" xfId="0"/>
    <xf numFmtId="0" fontId="1" fillId="0" borderId="0" applyAlignment="1" pivotButton="0" quotePrefix="0" xfId="0">
      <alignment horizontal="center" vertical="center"/>
    </xf>
    <xf numFmtId="0" fontId="1" fillId="0" borderId="0" pivotButton="0" quotePrefix="0" xfId="0"/>
    <xf numFmtId="0" fontId="1" fillId="0" borderId="0" applyAlignment="1" pivotButton="0" quotePrefix="0" xfId="0">
      <alignment horizontal="left" vertical="center"/>
    </xf>
    <xf numFmtId="0" fontId="1" fillId="0" borderId="1" applyAlignment="1" pivotButton="0" quotePrefix="0" xfId="0">
      <alignment horizontal="center" vertical="center" wrapText="1"/>
    </xf>
    <xf numFmtId="0" fontId="1" fillId="0" borderId="1" applyAlignment="1" pivotButton="0" quotePrefix="0" xfId="0">
      <alignment horizontal="center" vertical="center"/>
    </xf>
    <xf numFmtId="0" fontId="0" fillId="0" borderId="1" applyAlignment="1" pivotButton="0" quotePrefix="0" xfId="0">
      <alignment horizontal="center" vertical="center"/>
    </xf>
    <xf numFmtId="0" fontId="2" fillId="2" borderId="2" applyAlignment="1" pivotButton="0" quotePrefix="0" xfId="0">
      <alignment horizontal="center" vertical="center" wrapText="1" readingOrder="1"/>
    </xf>
    <xf numFmtId="0" fontId="3" fillId="2" borderId="3" applyAlignment="1" pivotButton="0" quotePrefix="0" xfId="0">
      <alignment vertical="center" wrapText="1" readingOrder="1"/>
    </xf>
    <xf numFmtId="0" fontId="2" fillId="2" borderId="3" applyAlignment="1" pivotButton="0" quotePrefix="0" xfId="0">
      <alignment horizontal="center" vertical="center" wrapText="1" readingOrder="1"/>
    </xf>
    <xf numFmtId="0" fontId="3" fillId="0" borderId="3" applyAlignment="1" pivotButton="0" quotePrefix="0" xfId="0">
      <alignment vertical="center" wrapText="1" readingOrder="1"/>
    </xf>
    <xf numFmtId="0" fontId="2" fillId="0" borderId="3" applyAlignment="1" pivotButton="0" quotePrefix="0" xfId="0">
      <alignment horizontal="center" vertical="center" wrapText="1" readingOrder="1"/>
    </xf>
    <xf numFmtId="0" fontId="3" fillId="2" borderId="4" applyAlignment="1" pivotButton="0" quotePrefix="0" xfId="0">
      <alignment vertical="center" wrapText="1" readingOrder="1"/>
    </xf>
    <xf numFmtId="0" fontId="2" fillId="2" borderId="5" applyAlignment="1" pivotButton="0" quotePrefix="0" xfId="0">
      <alignment horizontal="center" vertical="center" wrapText="1" readingOrder="1"/>
    </xf>
    <xf numFmtId="0" fontId="3" fillId="2" borderId="5" applyAlignment="1" pivotButton="0" quotePrefix="0" xfId="0">
      <alignment vertical="center" wrapText="1" readingOrder="1"/>
    </xf>
    <xf numFmtId="0" fontId="3" fillId="0" borderId="5" applyAlignment="1" pivotButton="0" quotePrefix="0" xfId="0">
      <alignment vertical="center" wrapText="1" readingOrder="1"/>
    </xf>
    <xf numFmtId="0" fontId="2" fillId="0" borderId="5" applyAlignment="1" pivotButton="0" quotePrefix="0" xfId="0">
      <alignment horizontal="center" vertical="center" wrapText="1" readingOrder="1"/>
    </xf>
    <xf numFmtId="0" fontId="2" fillId="2" borderId="4" applyAlignment="1" pivotButton="0" quotePrefix="0" xfId="0">
      <alignment horizontal="center" vertical="center" wrapText="1" readingOrder="1"/>
    </xf>
    <xf numFmtId="0" fontId="0" fillId="0" borderId="1" applyAlignment="1" pivotButton="0" quotePrefix="0" xfId="0">
      <alignment horizontal="left" vertical="center"/>
    </xf>
    <xf numFmtId="0" fontId="0" fillId="0" borderId="1" pivotButton="0" quotePrefix="0" xfId="0"/>
    <xf numFmtId="0" fontId="1" fillId="0" borderId="1" applyAlignment="1" pivotButton="0" quotePrefix="0" xfId="0">
      <alignment horizontal="left" vertical="center"/>
    </xf>
    <xf numFmtId="0" fontId="0" fillId="0" borderId="6" pivotButton="0" quotePrefix="0" xfId="0"/>
    <xf numFmtId="0" fontId="0" fillId="0" borderId="6" applyAlignment="1" pivotButton="0" quotePrefix="0" xfId="0">
      <alignment horizontal="center" vertical="center"/>
    </xf>
    <xf numFmtId="0" fontId="0" fillId="0" borderId="7" pivotButton="0" quotePrefix="0" xfId="0"/>
    <xf numFmtId="0" fontId="0" fillId="0" borderId="8" pivotButton="0" quotePrefix="0" xfId="0"/>
    <xf numFmtId="0" fontId="4" fillId="0" borderId="6" pivotButton="0" quotePrefix="0" xfId="0"/>
    <xf numFmtId="0" fontId="4" fillId="0" borderId="7" pivotButton="0" quotePrefix="0" xfId="0"/>
    <xf numFmtId="0" fontId="4" fillId="0" borderId="8" pivotButton="0" quotePrefix="0" xfId="0"/>
    <xf numFmtId="0" fontId="4" fillId="0" borderId="1" applyAlignment="1" pivotButton="0" quotePrefix="0" xfId="0">
      <alignment horizontal="center" vertical="center"/>
    </xf>
    <xf numFmtId="0" fontId="1" fillId="0" borderId="1" pivotButton="0" quotePrefix="0" xfId="0"/>
    <xf numFmtId="0" fontId="0" fillId="0" borderId="19" pivotButton="0" quotePrefix="0" xfId="0"/>
    <xf numFmtId="0" fontId="0" fillId="0" borderId="20" pivotButton="0" quotePrefix="0" xfId="0"/>
    <xf numFmtId="0" fontId="24" fillId="0" borderId="0" pivotButton="0" quotePrefix="0" xfId="0"/>
    <xf numFmtId="0" fontId="0" fillId="0" borderId="22" applyAlignment="1" pivotButton="0" quotePrefix="0" xfId="0">
      <alignment horizontal="center" vertical="center"/>
    </xf>
    <xf numFmtId="0" fontId="0" fillId="0" borderId="23" applyAlignment="1" pivotButton="0" quotePrefix="0" xfId="0">
      <alignment horizontal="center" vertical="center"/>
    </xf>
    <xf numFmtId="0" fontId="0" fillId="0" borderId="24" applyAlignment="1" pivotButton="0" quotePrefix="0" xfId="0">
      <alignment horizontal="center" vertical="center"/>
    </xf>
    <xf numFmtId="0" fontId="24" fillId="0" borderId="25" applyAlignment="1" pivotButton="0" quotePrefix="0" xfId="0">
      <alignment horizontal="center" vertical="center"/>
    </xf>
    <xf numFmtId="0" fontId="0" fillId="0" borderId="25"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85"/>
  <sheetViews>
    <sheetView topLeftCell="A37" workbookViewId="0">
      <selection activeCell="B68" sqref="B68:M68"/>
    </sheetView>
  </sheetViews>
  <sheetFormatPr baseColWidth="8" defaultColWidth="9" defaultRowHeight="14.4"/>
  <cols>
    <col width="42" customWidth="1" min="1" max="1"/>
  </cols>
  <sheetData>
    <row r="1">
      <c r="A1" s="5" t="inlineStr">
        <is>
          <t>Vivekanand Education Society's Institute of Technology</t>
        </is>
      </c>
      <c r="B1" s="30" t="n"/>
      <c r="C1" s="30" t="n"/>
      <c r="D1" s="30" t="n"/>
      <c r="E1" s="30" t="n"/>
      <c r="F1" s="30" t="n"/>
      <c r="G1" s="30" t="n"/>
      <c r="H1" s="30" t="n"/>
      <c r="I1" s="30" t="n"/>
      <c r="J1" s="30" t="n"/>
      <c r="K1" s="30" t="n"/>
      <c r="L1" s="30" t="n"/>
      <c r="M1" s="30" t="n"/>
      <c r="N1" s="30" t="n"/>
      <c r="O1" s="31" t="n"/>
    </row>
    <row r="2">
      <c r="A2" s="5" t="inlineStr">
        <is>
          <t>Department of Information Technology</t>
        </is>
      </c>
      <c r="B2" s="30" t="n"/>
      <c r="C2" s="30" t="n"/>
      <c r="D2" s="30" t="n"/>
      <c r="E2" s="30" t="n"/>
      <c r="F2" s="30" t="n"/>
      <c r="G2" s="30" t="n"/>
      <c r="H2" s="30" t="n"/>
      <c r="I2" s="30" t="n"/>
      <c r="J2" s="30" t="n"/>
      <c r="K2" s="30" t="n"/>
      <c r="L2" s="30" t="n"/>
      <c r="M2" s="30" t="n"/>
      <c r="N2" s="30" t="n"/>
      <c r="O2" s="31" t="n"/>
    </row>
    <row r="3">
      <c r="A3" s="5" t="inlineStr">
        <is>
          <t>Academic Year :2024-2025</t>
        </is>
      </c>
      <c r="B3" s="30" t="n"/>
      <c r="C3" s="30" t="n"/>
      <c r="D3" s="30" t="n"/>
      <c r="E3" s="30" t="n"/>
      <c r="F3" s="30" t="n"/>
      <c r="G3" s="30" t="n"/>
      <c r="H3" s="30" t="n"/>
      <c r="I3" s="30" t="n"/>
      <c r="J3" s="30" t="n"/>
      <c r="K3" s="30" t="n"/>
      <c r="L3" s="30" t="n"/>
      <c r="M3" s="30" t="n"/>
      <c r="N3" s="30" t="n"/>
      <c r="O3" s="31" t="n"/>
    </row>
    <row r="4">
      <c r="A4" s="20" t="n"/>
      <c r="B4" s="30" t="n"/>
      <c r="C4" s="30" t="n"/>
      <c r="D4" s="30" t="n"/>
      <c r="E4" s="30" t="n"/>
      <c r="F4" s="30" t="n"/>
      <c r="G4" s="30" t="n"/>
      <c r="H4" s="30" t="n"/>
      <c r="I4" s="30" t="n"/>
      <c r="J4" s="30" t="n"/>
      <c r="K4" s="30" t="n"/>
      <c r="L4" s="30" t="n"/>
      <c r="M4" s="30" t="n"/>
      <c r="N4" s="30" t="n"/>
      <c r="O4" s="31" t="n"/>
    </row>
    <row r="5">
      <c r="A5" s="20" t="inlineStr">
        <is>
          <t xml:space="preserve">  Subject : Data Structures and Analysis                                                                                                                                                                       Class : D10A</t>
        </is>
      </c>
      <c r="B5" s="30" t="n"/>
      <c r="C5" s="30" t="n"/>
      <c r="D5" s="30" t="n"/>
      <c r="E5" s="30" t="n"/>
      <c r="F5" s="30" t="n"/>
      <c r="G5" s="30" t="n"/>
      <c r="H5" s="30" t="n"/>
      <c r="I5" s="30" t="n"/>
      <c r="J5" s="30" t="n"/>
      <c r="K5" s="30" t="n"/>
      <c r="L5" s="30" t="n"/>
      <c r="M5" s="30" t="n"/>
      <c r="N5" s="30" t="n"/>
      <c r="O5" s="31" t="n"/>
    </row>
    <row r="6">
      <c r="A6" s="20" t="inlineStr">
        <is>
          <t xml:space="preserve">  Subject Teacher :Sairam Konar                                                                                                                                                                Semester : III</t>
        </is>
      </c>
      <c r="B6" s="30" t="n"/>
      <c r="C6" s="30" t="n"/>
      <c r="D6" s="30" t="n"/>
      <c r="E6" s="30" t="n"/>
      <c r="F6" s="30" t="n"/>
      <c r="G6" s="30" t="n"/>
      <c r="H6" s="30" t="n"/>
      <c r="I6" s="30" t="n"/>
      <c r="J6" s="30" t="n"/>
      <c r="K6" s="30" t="n"/>
      <c r="L6" s="30" t="n"/>
      <c r="M6" s="30" t="n"/>
      <c r="N6" s="30" t="n"/>
      <c r="O6" s="31" t="n"/>
    </row>
    <row r="7">
      <c r="A7" s="5" t="inlineStr">
        <is>
          <t>Number of Students =60</t>
        </is>
      </c>
      <c r="B7" s="30" t="n"/>
      <c r="C7" s="30" t="n"/>
      <c r="D7" s="30" t="n"/>
      <c r="E7" s="30" t="n"/>
      <c r="F7" s="30" t="n"/>
      <c r="G7" s="30" t="n"/>
      <c r="H7" s="30" t="n"/>
      <c r="I7" s="30" t="n"/>
      <c r="J7" s="30" t="n"/>
      <c r="K7" s="30" t="n"/>
      <c r="L7" s="30" t="n"/>
      <c r="M7" s="30" t="n"/>
      <c r="N7" s="30" t="n"/>
      <c r="O7" s="31" t="n"/>
    </row>
    <row r="8">
      <c r="A8" s="5" t="inlineStr">
        <is>
          <t>Roll Nos.</t>
        </is>
      </c>
      <c r="B8" s="5" t="inlineStr">
        <is>
          <t>1a (2)</t>
        </is>
      </c>
      <c r="C8" s="5" t="inlineStr">
        <is>
          <t>1b (2)</t>
        </is>
      </c>
      <c r="D8" s="5" t="inlineStr">
        <is>
          <t>1c (2)</t>
        </is>
      </c>
      <c r="E8" s="5" t="inlineStr">
        <is>
          <t>1d (2)</t>
        </is>
      </c>
      <c r="F8" s="5" t="inlineStr">
        <is>
          <t>1e (2)</t>
        </is>
      </c>
      <c r="G8" s="5" t="inlineStr">
        <is>
          <t>1f (2)</t>
        </is>
      </c>
      <c r="H8" s="5" t="inlineStr">
        <is>
          <t xml:space="preserve">Q1 </t>
        </is>
      </c>
      <c r="I8" s="5" t="inlineStr">
        <is>
          <t>2a (5)</t>
        </is>
      </c>
      <c r="J8" s="5" t="inlineStr">
        <is>
          <t>2b (5)</t>
        </is>
      </c>
      <c r="K8" s="5" t="inlineStr">
        <is>
          <t>Q2</t>
        </is>
      </c>
      <c r="L8" s="5" t="inlineStr">
        <is>
          <t>3a (5)</t>
        </is>
      </c>
      <c r="M8" s="5" t="inlineStr">
        <is>
          <t>3b (5)</t>
        </is>
      </c>
      <c r="N8" s="5" t="inlineStr">
        <is>
          <t>Q3</t>
        </is>
      </c>
      <c r="O8" s="5" t="inlineStr">
        <is>
          <t>Total</t>
        </is>
      </c>
    </row>
    <row r="9">
      <c r="A9" s="5" t="inlineStr">
        <is>
          <t>COs</t>
        </is>
      </c>
      <c r="B9" s="5" t="inlineStr">
        <is>
          <t>CO1</t>
        </is>
      </c>
      <c r="C9" s="5" t="inlineStr">
        <is>
          <t>CO2</t>
        </is>
      </c>
      <c r="D9" s="5" t="inlineStr">
        <is>
          <t>CO1</t>
        </is>
      </c>
      <c r="E9" s="5" t="inlineStr">
        <is>
          <t>CO2</t>
        </is>
      </c>
      <c r="F9" s="5" t="inlineStr">
        <is>
          <t>CO1</t>
        </is>
      </c>
      <c r="G9" s="5" t="inlineStr">
        <is>
          <t>CO2</t>
        </is>
      </c>
      <c r="H9" s="5" t="n"/>
      <c r="I9" s="5" t="inlineStr">
        <is>
          <t>CO2,3</t>
        </is>
      </c>
      <c r="J9" s="5" t="inlineStr">
        <is>
          <t>CO3,4</t>
        </is>
      </c>
      <c r="K9" s="5" t="n"/>
      <c r="L9" s="5" t="inlineStr">
        <is>
          <t>CO2,4</t>
        </is>
      </c>
      <c r="M9" s="5" t="inlineStr">
        <is>
          <t>CO1,4</t>
        </is>
      </c>
      <c r="N9" s="5" t="n"/>
      <c r="O9" s="5" t="n">
        <v>20</v>
      </c>
    </row>
    <row r="10">
      <c r="A10" s="6" t="n">
        <v>1</v>
      </c>
      <c r="B10" s="6" t="n">
        <v>2</v>
      </c>
      <c r="C10" s="6" t="n">
        <v>2</v>
      </c>
      <c r="D10" s="6" t="n"/>
      <c r="E10" s="6" t="n">
        <v>1</v>
      </c>
      <c r="F10" s="6" t="n">
        <v>2</v>
      </c>
      <c r="G10" s="6" t="n">
        <v>2</v>
      </c>
      <c r="H10" s="6">
        <f>ROUND(SUM(B10:G10),0)</f>
        <v/>
      </c>
      <c r="I10" s="6" t="n">
        <v>3</v>
      </c>
      <c r="J10" s="6" t="n"/>
      <c r="K10" s="6">
        <f>ROUND(SUM(I10:J10),0)</f>
        <v/>
      </c>
      <c r="L10" s="6" t="n">
        <v>4</v>
      </c>
      <c r="M10" s="6" t="n"/>
      <c r="N10" s="6">
        <f>ROUND(SUM(L10:M10),0)</f>
        <v/>
      </c>
      <c r="O10" s="6">
        <f>ROUND(SUM(H10,K10,N10),0)</f>
        <v/>
      </c>
    </row>
    <row r="11">
      <c r="A11" s="6" t="n">
        <v>2</v>
      </c>
      <c r="B11" s="6" t="n">
        <v>1</v>
      </c>
      <c r="C11" s="6" t="n">
        <v>2</v>
      </c>
      <c r="D11" s="6" t="n">
        <v>2</v>
      </c>
      <c r="E11" s="6" t="n">
        <v>1</v>
      </c>
      <c r="F11" s="6" t="n"/>
      <c r="G11" s="6" t="n"/>
      <c r="H11" s="6">
        <f>ROUND(SUM(B11:G11),0)</f>
        <v/>
      </c>
      <c r="I11" s="6" t="n"/>
      <c r="J11" s="6" t="n">
        <v>4</v>
      </c>
      <c r="K11" s="6">
        <f>ROUND(SUM(I11:J11),0)</f>
        <v/>
      </c>
      <c r="L11" s="6" t="n"/>
      <c r="M11" s="6" t="n">
        <v>5</v>
      </c>
      <c r="N11" s="6">
        <f>ROUND(SUM(L11:M11),0)</f>
        <v/>
      </c>
      <c r="O11" s="6">
        <f>ROUND(SUM(H11,K11,N11),0)</f>
        <v/>
      </c>
    </row>
    <row r="12">
      <c r="A12" s="6" t="n">
        <v>3</v>
      </c>
      <c r="B12" s="6" t="n">
        <v>2</v>
      </c>
      <c r="C12" s="6" t="n">
        <v>2</v>
      </c>
      <c r="D12" s="6" t="n">
        <v>2</v>
      </c>
      <c r="E12" s="6" t="n">
        <v>2</v>
      </c>
      <c r="F12" s="6" t="n">
        <v>2</v>
      </c>
      <c r="G12" s="6" t="n"/>
      <c r="H12" s="6">
        <f>ROUND(SUM(B12:G12),0)</f>
        <v/>
      </c>
      <c r="I12" s="6" t="n">
        <v>5</v>
      </c>
      <c r="J12" s="6" t="n"/>
      <c r="K12" s="6">
        <f>ROUND(SUM(I12:J12),0)</f>
        <v/>
      </c>
      <c r="L12" s="6" t="n"/>
      <c r="M12" s="6" t="n">
        <v>5</v>
      </c>
      <c r="N12" s="6">
        <f>ROUND(SUM(L12:M12),0)</f>
        <v/>
      </c>
      <c r="O12" s="6">
        <f>ROUND(SUM(H12,K12,N12),0)</f>
        <v/>
      </c>
    </row>
    <row r="13">
      <c r="A13" s="6" t="n">
        <v>4</v>
      </c>
      <c r="B13" s="6" t="n">
        <v>1</v>
      </c>
      <c r="C13" s="6" t="n"/>
      <c r="D13" s="6" t="n"/>
      <c r="E13" s="6" t="n"/>
      <c r="F13" s="6" t="n">
        <v>1</v>
      </c>
      <c r="G13" s="6" t="n"/>
      <c r="H13" s="6">
        <f>ROUND(SUM(B13:G13),0)</f>
        <v/>
      </c>
      <c r="I13" s="6" t="n"/>
      <c r="J13" s="6" t="n">
        <v>2</v>
      </c>
      <c r="K13" s="6">
        <f>ROUND(SUM(I13:J13),0)</f>
        <v/>
      </c>
      <c r="L13" s="6" t="n"/>
      <c r="M13" s="6" t="n"/>
      <c r="N13" s="6">
        <f>ROUND(SUM(L13:M13),0)</f>
        <v/>
      </c>
      <c r="O13" s="6">
        <f>ROUND(SUM(H13,K13,N13),0)</f>
        <v/>
      </c>
    </row>
    <row r="14">
      <c r="A14" s="6" t="n">
        <v>5</v>
      </c>
      <c r="B14" s="6" t="n">
        <v>2</v>
      </c>
      <c r="C14" s="6" t="n">
        <v>2</v>
      </c>
      <c r="D14" s="6" t="n"/>
      <c r="E14" s="6" t="n">
        <v>1</v>
      </c>
      <c r="F14" s="6" t="n">
        <v>2</v>
      </c>
      <c r="G14" s="6" t="n">
        <v>2</v>
      </c>
      <c r="H14" s="6">
        <f>ROUND(SUM(B14:G14),0)</f>
        <v/>
      </c>
      <c r="I14" s="6" t="n">
        <v>3</v>
      </c>
      <c r="J14" s="6" t="n"/>
      <c r="K14" s="6">
        <f>ROUND(SUM(I14:J14),0)</f>
        <v/>
      </c>
      <c r="L14" s="6" t="n">
        <v>4</v>
      </c>
      <c r="M14" s="6" t="n"/>
      <c r="N14" s="6">
        <f>ROUND(SUM(L14:M14),0)</f>
        <v/>
      </c>
      <c r="O14" s="6">
        <f>ROUND(SUM(H14,K14,N14),0)</f>
        <v/>
      </c>
    </row>
    <row r="15">
      <c r="A15" s="6" t="n">
        <v>6</v>
      </c>
      <c r="B15" s="6" t="n">
        <v>1</v>
      </c>
      <c r="C15" s="6" t="n"/>
      <c r="D15" s="6" t="n"/>
      <c r="E15" s="6" t="n"/>
      <c r="F15" s="6" t="n">
        <v>1</v>
      </c>
      <c r="G15" s="6" t="n"/>
      <c r="H15" s="6">
        <f>ROUND(SUM(B15:G15),0)</f>
        <v/>
      </c>
      <c r="I15" s="6" t="n"/>
      <c r="J15" s="6" t="n">
        <v>2</v>
      </c>
      <c r="K15" s="6">
        <f>ROUND(SUM(I15:J15),0)</f>
        <v/>
      </c>
      <c r="L15" s="6" t="n"/>
      <c r="M15" s="6" t="n"/>
      <c r="N15" s="6">
        <f>ROUND(SUM(L15:M15),0)</f>
        <v/>
      </c>
      <c r="O15" s="6">
        <f>ROUND(SUM(H15,K15,N15),0)</f>
        <v/>
      </c>
    </row>
    <row r="16">
      <c r="A16" s="6" t="n">
        <v>7</v>
      </c>
      <c r="B16" s="6" t="n">
        <v>2</v>
      </c>
      <c r="C16" s="6" t="n">
        <v>2</v>
      </c>
      <c r="D16" s="6" t="n">
        <v>2</v>
      </c>
      <c r="E16" s="6" t="n">
        <v>2</v>
      </c>
      <c r="F16" s="6" t="n">
        <v>2</v>
      </c>
      <c r="G16" s="6" t="n"/>
      <c r="H16" s="6">
        <f>ROUND(SUM(B16:G16),0)</f>
        <v/>
      </c>
      <c r="I16" s="6" t="n">
        <v>5</v>
      </c>
      <c r="J16" s="6" t="n"/>
      <c r="K16" s="6">
        <f>ROUND(SUM(I16:J16),0)</f>
        <v/>
      </c>
      <c r="L16" s="6" t="n"/>
      <c r="M16" s="6" t="n">
        <v>5</v>
      </c>
      <c r="N16" s="6">
        <f>ROUND(SUM(L16:M16),0)</f>
        <v/>
      </c>
      <c r="O16" s="6">
        <f>ROUND(SUM(H16,K16,N16),0)</f>
        <v/>
      </c>
    </row>
    <row r="17">
      <c r="A17" s="6" t="n">
        <v>8</v>
      </c>
      <c r="B17" s="6" t="n">
        <v>2</v>
      </c>
      <c r="C17" s="6" t="n"/>
      <c r="D17" s="6" t="n">
        <v>2</v>
      </c>
      <c r="E17" s="6" t="n"/>
      <c r="F17" s="6" t="n">
        <v>2</v>
      </c>
      <c r="G17" s="6" t="n"/>
      <c r="H17" s="6">
        <f>ROUND(SUM(B17:G17),0)</f>
        <v/>
      </c>
      <c r="I17" s="6" t="n">
        <v>5</v>
      </c>
      <c r="J17" s="6" t="n"/>
      <c r="K17" s="6">
        <f>ROUND(SUM(I17:J17),0)</f>
        <v/>
      </c>
      <c r="L17" s="6" t="n"/>
      <c r="M17" s="6" t="n">
        <v>4</v>
      </c>
      <c r="N17" s="6">
        <f>ROUND(SUM(L17:M17),0)</f>
        <v/>
      </c>
      <c r="O17" s="6">
        <f>ROUND(SUM(H17,K17,N17),0)</f>
        <v/>
      </c>
    </row>
    <row r="18">
      <c r="A18" s="6" t="n">
        <v>9</v>
      </c>
      <c r="B18" s="6" t="n">
        <v>1</v>
      </c>
      <c r="C18" s="6" t="n"/>
      <c r="D18" s="6" t="n"/>
      <c r="E18" s="6" t="n"/>
      <c r="F18" s="6" t="n">
        <v>1</v>
      </c>
      <c r="G18" s="6" t="n"/>
      <c r="H18" s="6">
        <f>ROUND(SUM(B18:G18),0)</f>
        <v/>
      </c>
      <c r="I18" s="6" t="n"/>
      <c r="J18" s="6" t="n">
        <v>2</v>
      </c>
      <c r="K18" s="6">
        <f>ROUND(SUM(I18:J18),0)</f>
        <v/>
      </c>
      <c r="L18" s="6" t="n"/>
      <c r="M18" s="6" t="n"/>
      <c r="N18" s="6">
        <f>ROUND(SUM(L18:M18),0)</f>
        <v/>
      </c>
      <c r="O18" s="6">
        <f>ROUND(SUM(H18,K18,N18),0)</f>
        <v/>
      </c>
    </row>
    <row r="19">
      <c r="A19" s="6" t="n">
        <v>10</v>
      </c>
      <c r="B19" s="6" t="n">
        <v>2</v>
      </c>
      <c r="C19" s="6" t="n">
        <v>2</v>
      </c>
      <c r="D19" s="6" t="n"/>
      <c r="E19" s="6" t="n">
        <v>1</v>
      </c>
      <c r="F19" s="6" t="n">
        <v>2</v>
      </c>
      <c r="G19" s="6" t="n">
        <v>2</v>
      </c>
      <c r="H19" s="6">
        <f>ROUND(SUM(B19:G19),0)</f>
        <v/>
      </c>
      <c r="I19" s="6" t="n">
        <v>3</v>
      </c>
      <c r="J19" s="6" t="n"/>
      <c r="K19" s="6">
        <f>ROUND(SUM(I19:J19),0)</f>
        <v/>
      </c>
      <c r="L19" s="6" t="n">
        <v>4</v>
      </c>
      <c r="M19" s="6" t="n"/>
      <c r="N19" s="6">
        <f>ROUND(SUM(L19:M19),0)</f>
        <v/>
      </c>
      <c r="O19" s="6">
        <f>ROUND(SUM(H19,K19,N19),0)</f>
        <v/>
      </c>
    </row>
    <row r="20">
      <c r="A20" s="6" t="n">
        <v>11</v>
      </c>
      <c r="B20" s="6" t="n">
        <v>2</v>
      </c>
      <c r="C20" s="6" t="n"/>
      <c r="D20" s="6" t="n">
        <v>2</v>
      </c>
      <c r="E20" s="6" t="n"/>
      <c r="F20" s="6" t="n">
        <v>2</v>
      </c>
      <c r="G20" s="6" t="n"/>
      <c r="H20" s="6">
        <f>ROUND(SUM(B20:G20),0)</f>
        <v/>
      </c>
      <c r="I20" s="6" t="n">
        <v>5</v>
      </c>
      <c r="J20" s="6" t="n"/>
      <c r="K20" s="6">
        <f>ROUND(SUM(I20:J20),0)</f>
        <v/>
      </c>
      <c r="L20" s="6" t="n"/>
      <c r="M20" s="6" t="n">
        <v>4</v>
      </c>
      <c r="N20" s="6">
        <f>ROUND(SUM(L20:M20),0)</f>
        <v/>
      </c>
      <c r="O20" s="6">
        <f>ROUND(SUM(H20,K20,N20),0)</f>
        <v/>
      </c>
    </row>
    <row r="21">
      <c r="A21" s="6" t="n">
        <v>12</v>
      </c>
      <c r="B21" s="6" t="n">
        <v>2</v>
      </c>
      <c r="C21" s="6" t="n"/>
      <c r="D21" s="6" t="n">
        <v>2</v>
      </c>
      <c r="E21" s="6" t="n"/>
      <c r="F21" s="6" t="n">
        <v>2</v>
      </c>
      <c r="G21" s="6" t="n"/>
      <c r="H21" s="6">
        <f>ROUND(SUM(B21:G21),0)</f>
        <v/>
      </c>
      <c r="I21" s="6" t="n">
        <v>5</v>
      </c>
      <c r="J21" s="6" t="n"/>
      <c r="K21" s="6">
        <f>ROUND(SUM(I21:J21),0)</f>
        <v/>
      </c>
      <c r="L21" s="6" t="n"/>
      <c r="M21" s="6" t="n">
        <v>4</v>
      </c>
      <c r="N21" s="6">
        <f>ROUND(SUM(L21:M21),0)</f>
        <v/>
      </c>
      <c r="O21" s="6">
        <f>ROUND(SUM(H21,K21,N21),0)</f>
        <v/>
      </c>
    </row>
    <row r="22">
      <c r="A22" s="6" t="n">
        <v>13</v>
      </c>
      <c r="B22" s="6" t="n">
        <v>1</v>
      </c>
      <c r="C22" s="6" t="n">
        <v>2</v>
      </c>
      <c r="D22" s="6" t="n">
        <v>2</v>
      </c>
      <c r="E22" s="6" t="n">
        <v>1</v>
      </c>
      <c r="F22" s="6" t="n"/>
      <c r="G22" s="6" t="n"/>
      <c r="H22" s="6">
        <f>ROUND(SUM(B22:G22),0)</f>
        <v/>
      </c>
      <c r="I22" s="6" t="n"/>
      <c r="J22" s="6" t="n">
        <v>4</v>
      </c>
      <c r="K22" s="6">
        <f>ROUND(SUM(I22:J22),0)</f>
        <v/>
      </c>
      <c r="L22" s="6" t="n"/>
      <c r="M22" s="6" t="n">
        <v>5</v>
      </c>
      <c r="N22" s="6">
        <f>ROUND(SUM(L22:M22),0)</f>
        <v/>
      </c>
      <c r="O22" s="6">
        <f>ROUND(SUM(H22,K22,N22),0)</f>
        <v/>
      </c>
    </row>
    <row r="23">
      <c r="A23" s="6" t="n">
        <v>14</v>
      </c>
      <c r="B23" s="6" t="n">
        <v>2</v>
      </c>
      <c r="C23" s="6" t="n"/>
      <c r="D23" s="6" t="n">
        <v>2</v>
      </c>
      <c r="E23" s="6" t="n"/>
      <c r="F23" s="6" t="n">
        <v>2</v>
      </c>
      <c r="G23" s="6" t="n"/>
      <c r="H23" s="6">
        <f>ROUND(SUM(B23:G23),0)</f>
        <v/>
      </c>
      <c r="I23" s="6" t="n">
        <v>5</v>
      </c>
      <c r="J23" s="6" t="n"/>
      <c r="K23" s="6">
        <f>ROUND(SUM(I23:J23),0)</f>
        <v/>
      </c>
      <c r="L23" s="6" t="n"/>
      <c r="M23" s="6" t="n">
        <v>4</v>
      </c>
      <c r="N23" s="6">
        <f>ROUND(SUM(L23:M23),0)</f>
        <v/>
      </c>
      <c r="O23" s="6">
        <f>ROUND(SUM(H23,K23,N23),0)</f>
        <v/>
      </c>
    </row>
    <row r="24">
      <c r="A24" s="6" t="n">
        <v>15</v>
      </c>
      <c r="B24" s="6" t="n">
        <v>2</v>
      </c>
      <c r="C24" s="6" t="n">
        <v>2</v>
      </c>
      <c r="D24" s="6" t="n"/>
      <c r="E24" s="6" t="n">
        <v>1</v>
      </c>
      <c r="F24" s="6" t="n">
        <v>2</v>
      </c>
      <c r="G24" s="6" t="n">
        <v>2</v>
      </c>
      <c r="H24" s="6">
        <f>ROUND(SUM(B24:G24),0)</f>
        <v/>
      </c>
      <c r="I24" s="6" t="n">
        <v>3</v>
      </c>
      <c r="J24" s="6" t="n"/>
      <c r="K24" s="6">
        <f>ROUND(SUM(I24:J24),0)</f>
        <v/>
      </c>
      <c r="L24" s="6" t="n">
        <v>4</v>
      </c>
      <c r="M24" s="6" t="n"/>
      <c r="N24" s="6">
        <f>ROUND(SUM(L24:M24),0)</f>
        <v/>
      </c>
      <c r="O24" s="6">
        <f>ROUND(SUM(H24,K24,N24),0)</f>
        <v/>
      </c>
    </row>
    <row r="25">
      <c r="A25" s="6" t="n">
        <v>16</v>
      </c>
      <c r="B25" s="6" t="n">
        <v>2</v>
      </c>
      <c r="C25" s="6" t="n"/>
      <c r="D25" s="6" t="n">
        <v>2</v>
      </c>
      <c r="E25" s="6" t="n"/>
      <c r="F25" s="6" t="n">
        <v>2</v>
      </c>
      <c r="G25" s="6" t="n"/>
      <c r="H25" s="6">
        <f>ROUND(SUM(B25:G25),0)</f>
        <v/>
      </c>
      <c r="I25" s="6" t="n">
        <v>5</v>
      </c>
      <c r="J25" s="6" t="n"/>
      <c r="K25" s="6">
        <f>ROUND(SUM(I25:J25),0)</f>
        <v/>
      </c>
      <c r="L25" s="6" t="n"/>
      <c r="M25" s="6" t="n">
        <v>4</v>
      </c>
      <c r="N25" s="6">
        <f>ROUND(SUM(L25:M25),0)</f>
        <v/>
      </c>
      <c r="O25" s="6">
        <f>ROUND(SUM(H25,K25,N25),0)</f>
        <v/>
      </c>
    </row>
    <row r="26">
      <c r="A26" s="6" t="n">
        <v>17</v>
      </c>
      <c r="B26" s="6" t="n">
        <v>2</v>
      </c>
      <c r="C26" s="6" t="n">
        <v>2</v>
      </c>
      <c r="D26" s="6" t="n">
        <v>2</v>
      </c>
      <c r="E26" s="6" t="n">
        <v>2</v>
      </c>
      <c r="F26" s="6" t="n">
        <v>2</v>
      </c>
      <c r="G26" s="6" t="n"/>
      <c r="H26" s="6">
        <f>ROUND(SUM(B26:G26),0)</f>
        <v/>
      </c>
      <c r="I26" s="6" t="n">
        <v>5</v>
      </c>
      <c r="J26" s="6" t="n"/>
      <c r="K26" s="6">
        <f>ROUND(SUM(I26:J26),0)</f>
        <v/>
      </c>
      <c r="L26" s="6" t="n"/>
      <c r="M26" s="6" t="n">
        <v>5</v>
      </c>
      <c r="N26" s="6">
        <f>ROUND(SUM(L26:M26),0)</f>
        <v/>
      </c>
      <c r="O26" s="6">
        <f>ROUND(SUM(H26,K26,N26),0)</f>
        <v/>
      </c>
    </row>
    <row r="27">
      <c r="A27" s="6" t="n">
        <v>18</v>
      </c>
      <c r="B27" s="6" t="n">
        <v>2</v>
      </c>
      <c r="C27" s="6" t="n"/>
      <c r="D27" s="6" t="n">
        <v>2</v>
      </c>
      <c r="E27" s="6" t="n"/>
      <c r="F27" s="6" t="n">
        <v>2</v>
      </c>
      <c r="G27" s="6" t="n"/>
      <c r="H27" s="6">
        <f>ROUND(SUM(B27:G27),0)</f>
        <v/>
      </c>
      <c r="I27" s="6" t="n">
        <v>5</v>
      </c>
      <c r="J27" s="6" t="n"/>
      <c r="K27" s="6">
        <f>ROUND(SUM(I27:J27),0)</f>
        <v/>
      </c>
      <c r="L27" s="6" t="n"/>
      <c r="M27" s="6" t="n">
        <v>4</v>
      </c>
      <c r="N27" s="6">
        <f>ROUND(SUM(L27:M27),0)</f>
        <v/>
      </c>
      <c r="O27" s="6">
        <f>ROUND(SUM(H27,K27,N27),0)</f>
        <v/>
      </c>
    </row>
    <row r="28">
      <c r="A28" s="6" t="n">
        <v>19</v>
      </c>
      <c r="B28" s="6" t="n">
        <v>2</v>
      </c>
      <c r="C28" s="6" t="n"/>
      <c r="D28" s="6" t="n">
        <v>2</v>
      </c>
      <c r="E28" s="6" t="n"/>
      <c r="F28" s="6" t="n">
        <v>2</v>
      </c>
      <c r="G28" s="6" t="n"/>
      <c r="H28" s="6">
        <f>ROUND(SUM(B28:G28),0)</f>
        <v/>
      </c>
      <c r="I28" s="6" t="n">
        <v>5</v>
      </c>
      <c r="J28" s="6" t="n"/>
      <c r="K28" s="6">
        <f>ROUND(SUM(I28:J28),0)</f>
        <v/>
      </c>
      <c r="L28" s="6" t="n"/>
      <c r="M28" s="6" t="n">
        <v>4</v>
      </c>
      <c r="N28" s="6">
        <f>ROUND(SUM(L28:M28),0)</f>
        <v/>
      </c>
      <c r="O28" s="6">
        <f>ROUND(SUM(H28,K28,N28),0)</f>
        <v/>
      </c>
    </row>
    <row r="29">
      <c r="A29" s="6" t="n">
        <v>20</v>
      </c>
      <c r="B29" s="6" t="n">
        <v>2</v>
      </c>
      <c r="C29" s="6" t="n">
        <v>2</v>
      </c>
      <c r="D29" s="6" t="n"/>
      <c r="E29" s="6" t="n">
        <v>1</v>
      </c>
      <c r="F29" s="6" t="n">
        <v>2</v>
      </c>
      <c r="G29" s="6" t="n">
        <v>2</v>
      </c>
      <c r="H29" s="6">
        <f>ROUND(SUM(B29:G29),0)</f>
        <v/>
      </c>
      <c r="I29" s="6" t="n">
        <v>3</v>
      </c>
      <c r="J29" s="6" t="n"/>
      <c r="K29" s="6">
        <f>ROUND(SUM(I29:J29),0)</f>
        <v/>
      </c>
      <c r="L29" s="6" t="n">
        <v>4</v>
      </c>
      <c r="M29" s="6" t="n"/>
      <c r="N29" s="6">
        <f>ROUND(SUM(L29:M29),0)</f>
        <v/>
      </c>
      <c r="O29" s="6">
        <f>ROUND(SUM(H29,K29,N29),0)</f>
        <v/>
      </c>
    </row>
    <row r="30">
      <c r="A30" s="6" t="n">
        <v>21</v>
      </c>
      <c r="B30" s="6" t="n">
        <v>2</v>
      </c>
      <c r="C30" s="6" t="n"/>
      <c r="D30" s="6" t="n">
        <v>2</v>
      </c>
      <c r="E30" s="6" t="n"/>
      <c r="F30" s="6" t="n">
        <v>2</v>
      </c>
      <c r="G30" s="6" t="n"/>
      <c r="H30" s="6">
        <f>ROUND(SUM(B30:G30),0)</f>
        <v/>
      </c>
      <c r="I30" s="6" t="n">
        <v>5</v>
      </c>
      <c r="J30" s="6" t="n"/>
      <c r="K30" s="6">
        <f>ROUND(SUM(I30:J30),0)</f>
        <v/>
      </c>
      <c r="L30" s="6" t="n"/>
      <c r="M30" s="6" t="n">
        <v>4</v>
      </c>
      <c r="N30" s="6">
        <f>ROUND(SUM(L30:M30),0)</f>
        <v/>
      </c>
      <c r="O30" s="6">
        <f>ROUND(SUM(H30,K30,N30),0)</f>
        <v/>
      </c>
    </row>
    <row r="31">
      <c r="A31" s="6" t="n">
        <v>22</v>
      </c>
      <c r="B31" s="6" t="n">
        <v>2</v>
      </c>
      <c r="C31" s="6" t="n"/>
      <c r="D31" s="6" t="n">
        <v>2</v>
      </c>
      <c r="E31" s="6" t="n"/>
      <c r="F31" s="6" t="n">
        <v>2</v>
      </c>
      <c r="G31" s="6" t="n"/>
      <c r="H31" s="6">
        <f>ROUND(SUM(B31:G31),0)</f>
        <v/>
      </c>
      <c r="I31" s="6" t="n">
        <v>5</v>
      </c>
      <c r="J31" s="6" t="n"/>
      <c r="K31" s="6">
        <f>ROUND(SUM(I31:J31),0)</f>
        <v/>
      </c>
      <c r="L31" s="6" t="n"/>
      <c r="M31" s="6" t="n">
        <v>4</v>
      </c>
      <c r="N31" s="6">
        <f>ROUND(SUM(L31:M31),0)</f>
        <v/>
      </c>
      <c r="O31" s="6">
        <f>ROUND(SUM(H31,K31,N31),0)</f>
        <v/>
      </c>
    </row>
    <row r="32">
      <c r="A32" s="6" t="n">
        <v>23</v>
      </c>
      <c r="B32" s="6" t="n">
        <v>2</v>
      </c>
      <c r="C32" s="6" t="n"/>
      <c r="D32" s="6" t="n">
        <v>2</v>
      </c>
      <c r="E32" s="6" t="n"/>
      <c r="F32" s="6" t="n">
        <v>2</v>
      </c>
      <c r="G32" s="6" t="n"/>
      <c r="H32" s="6">
        <f>ROUND(SUM(B32:G32),0)</f>
        <v/>
      </c>
      <c r="I32" s="6" t="n">
        <v>5</v>
      </c>
      <c r="J32" s="6" t="n"/>
      <c r="K32" s="6">
        <f>ROUND(SUM(I32:J32),0)</f>
        <v/>
      </c>
      <c r="L32" s="6" t="n"/>
      <c r="M32" s="6" t="n">
        <v>4</v>
      </c>
      <c r="N32" s="6">
        <f>ROUND(SUM(L32:M32),0)</f>
        <v/>
      </c>
      <c r="O32" s="6">
        <f>ROUND(SUM(H32,K32,N32),0)</f>
        <v/>
      </c>
    </row>
    <row r="33">
      <c r="A33" s="6" t="n">
        <v>24</v>
      </c>
      <c r="B33" s="6" t="n">
        <v>1</v>
      </c>
      <c r="C33" s="6" t="n"/>
      <c r="D33" s="6" t="n"/>
      <c r="E33" s="6" t="n"/>
      <c r="F33" s="6" t="n">
        <v>1</v>
      </c>
      <c r="G33" s="6" t="n"/>
      <c r="H33" s="6">
        <f>ROUND(SUM(B33:G33),0)</f>
        <v/>
      </c>
      <c r="I33" s="6" t="n"/>
      <c r="J33" s="6" t="n">
        <v>2</v>
      </c>
      <c r="K33" s="6">
        <f>ROUND(SUM(I33:J33),0)</f>
        <v/>
      </c>
      <c r="L33" s="6" t="n"/>
      <c r="M33" s="6" t="n"/>
      <c r="N33" s="6">
        <f>ROUND(SUM(L33:M33),0)</f>
        <v/>
      </c>
      <c r="O33" s="6">
        <f>ROUND(SUM(H33,K33,N33),0)</f>
        <v/>
      </c>
    </row>
    <row r="34">
      <c r="A34" s="6" t="n">
        <v>25</v>
      </c>
      <c r="B34" s="6" t="n">
        <v>2</v>
      </c>
      <c r="C34" s="6" t="n">
        <v>2</v>
      </c>
      <c r="D34" s="6" t="n"/>
      <c r="E34" s="6" t="n">
        <v>1</v>
      </c>
      <c r="F34" s="6" t="n">
        <v>2</v>
      </c>
      <c r="G34" s="6" t="n">
        <v>2</v>
      </c>
      <c r="H34" s="6">
        <f>ROUND(SUM(B34:G34),0)</f>
        <v/>
      </c>
      <c r="I34" s="6" t="n">
        <v>3</v>
      </c>
      <c r="J34" s="6" t="n"/>
      <c r="K34" s="6">
        <f>ROUND(SUM(I34:J34),0)</f>
        <v/>
      </c>
      <c r="L34" s="6" t="n">
        <v>4</v>
      </c>
      <c r="M34" s="6" t="n"/>
      <c r="N34" s="6">
        <f>ROUND(SUM(L34:M34),0)</f>
        <v/>
      </c>
      <c r="O34" s="6">
        <f>ROUND(SUM(H34,K34,N34),0)</f>
        <v/>
      </c>
    </row>
    <row r="35">
      <c r="A35" s="6" t="n">
        <v>26</v>
      </c>
      <c r="B35" s="6" t="n">
        <v>2</v>
      </c>
      <c r="C35" s="6" t="n"/>
      <c r="D35" s="6" t="n">
        <v>2</v>
      </c>
      <c r="E35" s="6" t="n"/>
      <c r="F35" s="6" t="n">
        <v>2</v>
      </c>
      <c r="G35" s="6" t="n"/>
      <c r="H35" s="6">
        <f>ROUND(SUM(B35:G35),0)</f>
        <v/>
      </c>
      <c r="I35" s="6" t="n">
        <v>5</v>
      </c>
      <c r="J35" s="6" t="n"/>
      <c r="K35" s="6">
        <f>ROUND(SUM(I35:J35),0)</f>
        <v/>
      </c>
      <c r="L35" s="6" t="n"/>
      <c r="M35" s="6" t="n">
        <v>4</v>
      </c>
      <c r="N35" s="6">
        <f>ROUND(SUM(L35:M35),0)</f>
        <v/>
      </c>
      <c r="O35" s="6">
        <f>ROUND(SUM(H35,K35,N35),0)</f>
        <v/>
      </c>
    </row>
    <row r="36">
      <c r="A36" s="6" t="n">
        <v>27</v>
      </c>
      <c r="B36" s="6" t="n">
        <v>2</v>
      </c>
      <c r="C36" s="6" t="n"/>
      <c r="D36" s="6" t="n">
        <v>2</v>
      </c>
      <c r="E36" s="6" t="n"/>
      <c r="F36" s="6" t="n">
        <v>2</v>
      </c>
      <c r="G36" s="6" t="n"/>
      <c r="H36" s="6">
        <f>ROUND(SUM(B36:G36),0)</f>
        <v/>
      </c>
      <c r="I36" s="6" t="n">
        <v>5</v>
      </c>
      <c r="J36" s="6" t="n"/>
      <c r="K36" s="6">
        <f>ROUND(SUM(I36:J36),0)</f>
        <v/>
      </c>
      <c r="L36" s="6" t="n"/>
      <c r="M36" s="6" t="n">
        <v>4</v>
      </c>
      <c r="N36" s="6">
        <f>ROUND(SUM(L36:M36),0)</f>
        <v/>
      </c>
      <c r="O36" s="6">
        <f>ROUND(SUM(H36,K36,N36),0)</f>
        <v/>
      </c>
    </row>
    <row r="37">
      <c r="A37" s="6" t="n">
        <v>28</v>
      </c>
      <c r="B37" s="6" t="n">
        <v>1</v>
      </c>
      <c r="C37" s="6" t="n">
        <v>2</v>
      </c>
      <c r="D37" s="6" t="n">
        <v>2</v>
      </c>
      <c r="E37" s="6" t="n">
        <v>1</v>
      </c>
      <c r="F37" s="6" t="n"/>
      <c r="G37" s="6" t="n"/>
      <c r="H37" s="6">
        <f>ROUND(SUM(B37:G37),0)</f>
        <v/>
      </c>
      <c r="I37" s="6" t="n"/>
      <c r="J37" s="6" t="n">
        <v>4</v>
      </c>
      <c r="K37" s="6">
        <f>ROUND(SUM(I37:J37),0)</f>
        <v/>
      </c>
      <c r="L37" s="6" t="n"/>
      <c r="M37" s="6" t="n">
        <v>5</v>
      </c>
      <c r="N37" s="6">
        <f>ROUND(SUM(L37:M37),0)</f>
        <v/>
      </c>
      <c r="O37" s="6">
        <f>ROUND(SUM(H37,K37,N37),0)</f>
        <v/>
      </c>
    </row>
    <row r="38">
      <c r="A38" s="6" t="n">
        <v>29</v>
      </c>
      <c r="B38" s="6" t="n">
        <v>2</v>
      </c>
      <c r="C38" s="6" t="n"/>
      <c r="D38" s="6" t="n">
        <v>2</v>
      </c>
      <c r="E38" s="6" t="n"/>
      <c r="F38" s="6" t="n">
        <v>2</v>
      </c>
      <c r="G38" s="6" t="n"/>
      <c r="H38" s="6">
        <f>ROUND(SUM(B38:G38),0)</f>
        <v/>
      </c>
      <c r="I38" s="6" t="n">
        <v>5</v>
      </c>
      <c r="J38" s="6" t="n"/>
      <c r="K38" s="6">
        <f>ROUND(SUM(I38:J38),0)</f>
        <v/>
      </c>
      <c r="L38" s="6" t="n"/>
      <c r="M38" s="6" t="n">
        <v>4</v>
      </c>
      <c r="N38" s="6">
        <f>ROUND(SUM(L38:M38),0)</f>
        <v/>
      </c>
      <c r="O38" s="6">
        <f>ROUND(SUM(H38,K38,N38),0)</f>
        <v/>
      </c>
    </row>
    <row r="39">
      <c r="A39" s="6" t="n">
        <v>30</v>
      </c>
      <c r="B39" s="6" t="n">
        <v>2</v>
      </c>
      <c r="C39" s="6" t="n">
        <v>2</v>
      </c>
      <c r="D39" s="6" t="n"/>
      <c r="E39" s="6" t="n">
        <v>1</v>
      </c>
      <c r="F39" s="6" t="n">
        <v>2</v>
      </c>
      <c r="G39" s="6" t="n">
        <v>2</v>
      </c>
      <c r="H39" s="6">
        <f>ROUND(SUM(B39:G39),0)</f>
        <v/>
      </c>
      <c r="I39" s="6" t="n">
        <v>3</v>
      </c>
      <c r="J39" s="6" t="n"/>
      <c r="K39" s="6">
        <f>ROUND(SUM(I39:J39),0)</f>
        <v/>
      </c>
      <c r="L39" s="6" t="n">
        <v>4</v>
      </c>
      <c r="M39" s="6" t="n"/>
      <c r="N39" s="6">
        <f>ROUND(SUM(L39:M39),0)</f>
        <v/>
      </c>
      <c r="O39" s="6">
        <f>ROUND(SUM(H39,K39,N39),0)</f>
        <v/>
      </c>
    </row>
    <row r="40">
      <c r="A40" s="6" t="n">
        <v>31</v>
      </c>
      <c r="B40" s="6" t="n">
        <v>2</v>
      </c>
      <c r="C40" s="6" t="n"/>
      <c r="D40" s="6" t="n">
        <v>2</v>
      </c>
      <c r="E40" s="6" t="n"/>
      <c r="F40" s="6" t="n">
        <v>2</v>
      </c>
      <c r="G40" s="6" t="n"/>
      <c r="H40" s="6">
        <f>ROUND(SUM(B40:G40),0)</f>
        <v/>
      </c>
      <c r="I40" s="6" t="n">
        <v>5</v>
      </c>
      <c r="J40" s="6" t="n"/>
      <c r="K40" s="6">
        <f>ROUND(SUM(I40:J40),0)</f>
        <v/>
      </c>
      <c r="L40" s="6" t="n"/>
      <c r="M40" s="6" t="n">
        <v>4</v>
      </c>
      <c r="N40" s="6">
        <f>ROUND(SUM(L40:M40),0)</f>
        <v/>
      </c>
      <c r="O40" s="6">
        <f>ROUND(SUM(H40,K40,N40),0)</f>
        <v/>
      </c>
    </row>
    <row r="41">
      <c r="A41" s="6" t="n">
        <v>32</v>
      </c>
      <c r="B41" s="6" t="n">
        <v>2</v>
      </c>
      <c r="C41" s="6" t="n"/>
      <c r="D41" s="6" t="n">
        <v>2</v>
      </c>
      <c r="E41" s="6" t="n"/>
      <c r="F41" s="6" t="n">
        <v>2</v>
      </c>
      <c r="G41" s="6" t="n"/>
      <c r="H41" s="6">
        <f>ROUND(SUM(B41:G41),0)</f>
        <v/>
      </c>
      <c r="I41" s="6" t="n">
        <v>5</v>
      </c>
      <c r="J41" s="6" t="n"/>
      <c r="K41" s="6">
        <f>ROUND(SUM(I41:J41),0)</f>
        <v/>
      </c>
      <c r="L41" s="6" t="n"/>
      <c r="M41" s="6" t="n">
        <v>4</v>
      </c>
      <c r="N41" s="6">
        <f>ROUND(SUM(L41:M41),0)</f>
        <v/>
      </c>
      <c r="O41" s="6">
        <f>ROUND(SUM(H41,K41,N41),0)</f>
        <v/>
      </c>
    </row>
    <row r="42">
      <c r="A42" s="6" t="n">
        <v>33</v>
      </c>
      <c r="B42" s="6" t="n">
        <v>2</v>
      </c>
      <c r="C42" s="6" t="n">
        <v>2</v>
      </c>
      <c r="D42" s="6" t="n">
        <v>2</v>
      </c>
      <c r="E42" s="6" t="n">
        <v>2</v>
      </c>
      <c r="F42" s="6" t="n">
        <v>2</v>
      </c>
      <c r="G42" s="6" t="n"/>
      <c r="H42" s="6">
        <f>ROUND(SUM(B42:G42),0)</f>
        <v/>
      </c>
      <c r="I42" s="6" t="n">
        <v>5</v>
      </c>
      <c r="J42" s="6" t="n"/>
      <c r="K42" s="6">
        <f>ROUND(SUM(I42:J42),0)</f>
        <v/>
      </c>
      <c r="L42" s="6" t="n"/>
      <c r="M42" s="6" t="n">
        <v>5</v>
      </c>
      <c r="N42" s="6">
        <f>ROUND(SUM(L42:M42),0)</f>
        <v/>
      </c>
      <c r="O42" s="6">
        <f>ROUND(SUM(H42,K42,N42),0)</f>
        <v/>
      </c>
    </row>
    <row r="43">
      <c r="A43" s="6" t="n">
        <v>34</v>
      </c>
      <c r="B43" s="6" t="n">
        <v>2</v>
      </c>
      <c r="C43" s="6" t="n"/>
      <c r="D43" s="6" t="n">
        <v>2</v>
      </c>
      <c r="E43" s="6" t="n"/>
      <c r="F43" s="6" t="n">
        <v>2</v>
      </c>
      <c r="G43" s="6" t="n"/>
      <c r="H43" s="6">
        <f>ROUND(SUM(B43:G43),0)</f>
        <v/>
      </c>
      <c r="I43" s="6" t="n">
        <v>5</v>
      </c>
      <c r="J43" s="6" t="n"/>
      <c r="K43" s="6">
        <f>ROUND(SUM(I43:J43),0)</f>
        <v/>
      </c>
      <c r="L43" s="6" t="n"/>
      <c r="M43" s="6" t="n">
        <v>4</v>
      </c>
      <c r="N43" s="6">
        <f>ROUND(SUM(L43:M43),0)</f>
        <v/>
      </c>
      <c r="O43" s="6">
        <f>ROUND(SUM(H43,K43,N43),0)</f>
        <v/>
      </c>
    </row>
    <row r="44">
      <c r="A44" s="6" t="n">
        <v>35</v>
      </c>
      <c r="B44" s="6" t="n">
        <v>2</v>
      </c>
      <c r="C44" s="6" t="n">
        <v>2</v>
      </c>
      <c r="D44" s="6" t="n"/>
      <c r="E44" s="6" t="n">
        <v>1</v>
      </c>
      <c r="F44" s="6" t="n">
        <v>2</v>
      </c>
      <c r="G44" s="6" t="n">
        <v>2</v>
      </c>
      <c r="H44" s="6">
        <f>ROUND(SUM(B44:G44),0)</f>
        <v/>
      </c>
      <c r="I44" s="6" t="n">
        <v>3</v>
      </c>
      <c r="J44" s="6" t="n"/>
      <c r="K44" s="6">
        <f>ROUND(SUM(I44:J44),0)</f>
        <v/>
      </c>
      <c r="L44" s="6" t="n">
        <v>4</v>
      </c>
      <c r="M44" s="6" t="n"/>
      <c r="N44" s="6">
        <f>ROUND(SUM(L44:M44),0)</f>
        <v/>
      </c>
      <c r="O44" s="6">
        <f>ROUND(SUM(H44,K44,N44),0)</f>
        <v/>
      </c>
    </row>
    <row r="45">
      <c r="A45" s="6" t="n">
        <v>36</v>
      </c>
      <c r="B45" s="6" t="n">
        <v>2</v>
      </c>
      <c r="C45" s="6" t="n"/>
      <c r="D45" s="6" t="n">
        <v>2</v>
      </c>
      <c r="E45" s="6" t="n"/>
      <c r="F45" s="6" t="n">
        <v>2</v>
      </c>
      <c r="G45" s="6" t="n"/>
      <c r="H45" s="6">
        <f>ROUND(SUM(B45:G45),0)</f>
        <v/>
      </c>
      <c r="I45" s="6" t="n">
        <v>5</v>
      </c>
      <c r="J45" s="6" t="n"/>
      <c r="K45" s="6">
        <f>ROUND(SUM(I45:J45),0)</f>
        <v/>
      </c>
      <c r="L45" s="6" t="n"/>
      <c r="M45" s="6" t="n">
        <v>4</v>
      </c>
      <c r="N45" s="6">
        <f>ROUND(SUM(L45:M45),0)</f>
        <v/>
      </c>
      <c r="O45" s="6">
        <f>ROUND(SUM(H45,K45,N45),0)</f>
        <v/>
      </c>
    </row>
    <row r="46">
      <c r="A46" s="6" t="n">
        <v>37</v>
      </c>
      <c r="B46" s="6" t="n">
        <v>2</v>
      </c>
      <c r="C46" s="6" t="n"/>
      <c r="D46" s="6" t="n">
        <v>2</v>
      </c>
      <c r="E46" s="6" t="n"/>
      <c r="F46" s="6" t="n">
        <v>2</v>
      </c>
      <c r="G46" s="6" t="n"/>
      <c r="H46" s="6">
        <f>ROUND(SUM(B46:G46),0)</f>
        <v/>
      </c>
      <c r="I46" s="6" t="n">
        <v>5</v>
      </c>
      <c r="J46" s="6" t="n"/>
      <c r="K46" s="6">
        <f>ROUND(SUM(I46:J46),0)</f>
        <v/>
      </c>
      <c r="L46" s="6" t="n"/>
      <c r="M46" s="6" t="n">
        <v>4</v>
      </c>
      <c r="N46" s="6">
        <f>ROUND(SUM(L46:M46),0)</f>
        <v/>
      </c>
      <c r="O46" s="6">
        <f>ROUND(SUM(H46,K46,N46),0)</f>
        <v/>
      </c>
    </row>
    <row r="47">
      <c r="A47" s="6" t="n">
        <v>38</v>
      </c>
      <c r="B47" s="6" t="n">
        <v>2</v>
      </c>
      <c r="C47" s="6" t="n">
        <v>2</v>
      </c>
      <c r="D47" s="6" t="n">
        <v>2</v>
      </c>
      <c r="E47" s="6" t="n">
        <v>2</v>
      </c>
      <c r="F47" s="6" t="n">
        <v>2</v>
      </c>
      <c r="G47" s="6" t="n"/>
      <c r="H47" s="6">
        <f>ROUND(SUM(B47:G47),0)</f>
        <v/>
      </c>
      <c r="I47" s="6" t="n">
        <v>5</v>
      </c>
      <c r="J47" s="6" t="n"/>
      <c r="K47" s="6">
        <f>ROUND(SUM(I47:J47),0)</f>
        <v/>
      </c>
      <c r="L47" s="6" t="n"/>
      <c r="M47" s="6" t="n">
        <v>5</v>
      </c>
      <c r="N47" s="6">
        <f>ROUND(SUM(L47:M47),0)</f>
        <v/>
      </c>
      <c r="O47" s="6">
        <f>ROUND(SUM(H47,K47,N47),0)</f>
        <v/>
      </c>
    </row>
    <row r="48">
      <c r="A48" s="6" t="n">
        <v>39</v>
      </c>
      <c r="B48" s="6" t="n">
        <v>2</v>
      </c>
      <c r="C48" s="6" t="n"/>
      <c r="D48" s="6" t="n">
        <v>2</v>
      </c>
      <c r="E48" s="6" t="n"/>
      <c r="F48" s="6" t="n">
        <v>2</v>
      </c>
      <c r="G48" s="6" t="n"/>
      <c r="H48" s="6">
        <f>ROUND(SUM(B48:G48),0)</f>
        <v/>
      </c>
      <c r="I48" s="6" t="n">
        <v>5</v>
      </c>
      <c r="J48" s="6" t="n"/>
      <c r="K48" s="6">
        <f>ROUND(SUM(I48:J48),0)</f>
        <v/>
      </c>
      <c r="L48" s="6" t="n"/>
      <c r="M48" s="6" t="n">
        <v>4</v>
      </c>
      <c r="N48" s="6">
        <f>ROUND(SUM(L48:M48),0)</f>
        <v/>
      </c>
      <c r="O48" s="6">
        <f>ROUND(SUM(H48,K48,N48),0)</f>
        <v/>
      </c>
    </row>
    <row r="49">
      <c r="A49" s="6" t="n">
        <v>40</v>
      </c>
      <c r="B49" s="6" t="n">
        <v>2</v>
      </c>
      <c r="C49" s="6" t="n">
        <v>2</v>
      </c>
      <c r="D49" s="6" t="n"/>
      <c r="E49" s="6" t="n">
        <v>1</v>
      </c>
      <c r="F49" s="6" t="n">
        <v>2</v>
      </c>
      <c r="G49" s="6" t="n">
        <v>2</v>
      </c>
      <c r="H49" s="6">
        <f>ROUND(SUM(B49:G49),0)</f>
        <v/>
      </c>
      <c r="I49" s="6" t="n">
        <v>3</v>
      </c>
      <c r="J49" s="6" t="n"/>
      <c r="K49" s="6">
        <f>ROUND(SUM(I49:J49),0)</f>
        <v/>
      </c>
      <c r="L49" s="6" t="n">
        <v>4</v>
      </c>
      <c r="M49" s="6" t="n"/>
      <c r="N49" s="6">
        <f>ROUND(SUM(L49:M49),0)</f>
        <v/>
      </c>
      <c r="O49" s="6">
        <f>ROUND(SUM(H49,K49,N49),0)</f>
        <v/>
      </c>
    </row>
    <row r="50">
      <c r="A50" s="6" t="n">
        <v>41</v>
      </c>
      <c r="B50" s="6" t="n">
        <v>2</v>
      </c>
      <c r="C50" s="6" t="n"/>
      <c r="D50" s="6" t="n">
        <v>2</v>
      </c>
      <c r="E50" s="6" t="n"/>
      <c r="F50" s="6" t="n">
        <v>2</v>
      </c>
      <c r="G50" s="6" t="n"/>
      <c r="H50" s="6">
        <f>ROUND(SUM(B50:G50),0)</f>
        <v/>
      </c>
      <c r="I50" s="6" t="n">
        <v>5</v>
      </c>
      <c r="J50" s="6" t="n"/>
      <c r="K50" s="6">
        <f>ROUND(SUM(I50:J50),0)</f>
        <v/>
      </c>
      <c r="L50" s="6" t="n"/>
      <c r="M50" s="6" t="n">
        <v>4</v>
      </c>
      <c r="N50" s="6">
        <f>ROUND(SUM(L50:M50),0)</f>
        <v/>
      </c>
      <c r="O50" s="6">
        <f>ROUND(SUM(H50,K50,N50),0)</f>
        <v/>
      </c>
    </row>
    <row r="51">
      <c r="A51" s="6" t="n">
        <v>42</v>
      </c>
      <c r="B51" s="6" t="n">
        <v>2</v>
      </c>
      <c r="C51" s="6" t="n">
        <v>2</v>
      </c>
      <c r="D51" s="6" t="n">
        <v>2</v>
      </c>
      <c r="E51" s="6" t="n">
        <v>2</v>
      </c>
      <c r="F51" s="6" t="n">
        <v>2</v>
      </c>
      <c r="G51" s="6" t="n"/>
      <c r="H51" s="6">
        <f>ROUND(SUM(B51:G51),0)</f>
        <v/>
      </c>
      <c r="I51" s="6" t="n">
        <v>5</v>
      </c>
      <c r="J51" s="6" t="n"/>
      <c r="K51" s="6">
        <f>ROUND(SUM(I51:J51),0)</f>
        <v/>
      </c>
      <c r="L51" s="6" t="n"/>
      <c r="M51" s="6" t="n">
        <v>5</v>
      </c>
      <c r="N51" s="6">
        <f>ROUND(SUM(L51:M51),0)</f>
        <v/>
      </c>
      <c r="O51" s="6">
        <f>ROUND(SUM(H51,K51,N51),0)</f>
        <v/>
      </c>
    </row>
    <row r="52">
      <c r="A52" s="6" t="n">
        <v>43</v>
      </c>
      <c r="B52" s="6" t="n">
        <v>2</v>
      </c>
      <c r="C52" s="6" t="n"/>
      <c r="D52" s="6" t="n">
        <v>2</v>
      </c>
      <c r="E52" s="6" t="n"/>
      <c r="F52" s="6" t="n">
        <v>2</v>
      </c>
      <c r="G52" s="6" t="n"/>
      <c r="H52" s="6">
        <f>ROUND(SUM(B52:G52),0)</f>
        <v/>
      </c>
      <c r="I52" s="6" t="n">
        <v>5</v>
      </c>
      <c r="J52" s="6" t="n"/>
      <c r="K52" s="6">
        <f>ROUND(SUM(I52:J52),0)</f>
        <v/>
      </c>
      <c r="L52" s="6" t="n"/>
      <c r="M52" s="6" t="n">
        <v>4</v>
      </c>
      <c r="N52" s="6">
        <f>ROUND(SUM(L52:M52),0)</f>
        <v/>
      </c>
      <c r="O52" s="6">
        <f>ROUND(SUM(H52,K52,N52),0)</f>
        <v/>
      </c>
    </row>
    <row r="53">
      <c r="A53" s="6" t="n">
        <v>44</v>
      </c>
      <c r="B53" s="6" t="n">
        <v>2</v>
      </c>
      <c r="C53" s="6" t="n"/>
      <c r="D53" s="6" t="n">
        <v>2</v>
      </c>
      <c r="E53" s="6" t="n"/>
      <c r="F53" s="6" t="n">
        <v>2</v>
      </c>
      <c r="G53" s="6" t="n"/>
      <c r="H53" s="6">
        <f>ROUND(SUM(B53:G53),0)</f>
        <v/>
      </c>
      <c r="I53" s="6" t="n">
        <v>5</v>
      </c>
      <c r="J53" s="6" t="n"/>
      <c r="K53" s="6">
        <f>ROUND(SUM(I53:J53),0)</f>
        <v/>
      </c>
      <c r="L53" s="6" t="n"/>
      <c r="M53" s="6" t="n">
        <v>4</v>
      </c>
      <c r="N53" s="6">
        <f>ROUND(SUM(L53:M53),0)</f>
        <v/>
      </c>
      <c r="O53" s="6">
        <f>ROUND(SUM(H53,K53,N53),0)</f>
        <v/>
      </c>
    </row>
    <row r="54">
      <c r="A54" s="6" t="n">
        <v>45</v>
      </c>
      <c r="B54" s="6" t="n">
        <v>2</v>
      </c>
      <c r="C54" s="6" t="n">
        <v>2</v>
      </c>
      <c r="D54" s="6" t="n"/>
      <c r="E54" s="6" t="n">
        <v>1</v>
      </c>
      <c r="F54" s="6" t="n">
        <v>2</v>
      </c>
      <c r="G54" s="6" t="n">
        <v>2</v>
      </c>
      <c r="H54" s="6">
        <f>ROUND(SUM(B54:G54),0)</f>
        <v/>
      </c>
      <c r="I54" s="6" t="n">
        <v>3</v>
      </c>
      <c r="J54" s="6" t="n"/>
      <c r="K54" s="6">
        <f>ROUND(SUM(I54:J54),0)</f>
        <v/>
      </c>
      <c r="L54" s="6" t="n">
        <v>4</v>
      </c>
      <c r="M54" s="6" t="n"/>
      <c r="N54" s="6">
        <f>ROUND(SUM(L54:M54),0)</f>
        <v/>
      </c>
      <c r="O54" s="6">
        <f>ROUND(SUM(H54,K54,N54),0)</f>
        <v/>
      </c>
    </row>
    <row r="55">
      <c r="A55" s="6" t="n">
        <v>46</v>
      </c>
      <c r="B55" s="6" t="n">
        <v>2</v>
      </c>
      <c r="C55" s="6" t="n"/>
      <c r="D55" s="6" t="n">
        <v>2</v>
      </c>
      <c r="E55" s="6" t="n"/>
      <c r="F55" s="6" t="n">
        <v>2</v>
      </c>
      <c r="G55" s="6" t="n"/>
      <c r="H55" s="6">
        <f>ROUND(SUM(B55:G55),0)</f>
        <v/>
      </c>
      <c r="I55" s="6" t="n">
        <v>5</v>
      </c>
      <c r="J55" s="6" t="n"/>
      <c r="K55" s="6">
        <f>ROUND(SUM(I55:J55),0)</f>
        <v/>
      </c>
      <c r="L55" s="6" t="n"/>
      <c r="M55" s="6" t="n">
        <v>4</v>
      </c>
      <c r="N55" s="6">
        <f>ROUND(SUM(L55:M55),0)</f>
        <v/>
      </c>
      <c r="O55" s="6">
        <f>ROUND(SUM(H55,K55,N55),0)</f>
        <v/>
      </c>
    </row>
    <row r="56">
      <c r="A56" s="6" t="n">
        <v>47</v>
      </c>
      <c r="B56" s="6" t="n">
        <v>2</v>
      </c>
      <c r="C56" s="6" t="n"/>
      <c r="D56" s="6" t="n">
        <v>2</v>
      </c>
      <c r="E56" s="6" t="n"/>
      <c r="F56" s="6" t="n">
        <v>2</v>
      </c>
      <c r="G56" s="6" t="n"/>
      <c r="H56" s="6">
        <f>ROUND(SUM(B56:G56),0)</f>
        <v/>
      </c>
      <c r="I56" s="6" t="n">
        <v>5</v>
      </c>
      <c r="J56" s="6" t="n"/>
      <c r="K56" s="6">
        <f>ROUND(SUM(I56:J56),0)</f>
        <v/>
      </c>
      <c r="L56" s="6" t="n"/>
      <c r="M56" s="6" t="n">
        <v>4</v>
      </c>
      <c r="N56" s="6">
        <f>ROUND(SUM(L56:M56),0)</f>
        <v/>
      </c>
      <c r="O56" s="6">
        <f>ROUND(SUM(H56,K56,N56),0)</f>
        <v/>
      </c>
    </row>
    <row r="57">
      <c r="A57" s="6" t="n">
        <v>48</v>
      </c>
      <c r="B57" s="6" t="n">
        <v>1</v>
      </c>
      <c r="C57" s="6" t="n">
        <v>2</v>
      </c>
      <c r="D57" s="6" t="n">
        <v>2</v>
      </c>
      <c r="E57" s="6" t="n">
        <v>1</v>
      </c>
      <c r="F57" s="6" t="n"/>
      <c r="G57" s="6" t="n"/>
      <c r="H57" s="6">
        <f>ROUND(SUM(B57:G57),0)</f>
        <v/>
      </c>
      <c r="I57" s="6" t="n"/>
      <c r="J57" s="6" t="n">
        <v>4</v>
      </c>
      <c r="K57" s="6">
        <f>ROUND(SUM(I57:J57),0)</f>
        <v/>
      </c>
      <c r="L57" s="6" t="n"/>
      <c r="M57" s="6" t="n">
        <v>5</v>
      </c>
      <c r="N57" s="6">
        <f>ROUND(SUM(L57:M57),0)</f>
        <v/>
      </c>
      <c r="O57" s="6">
        <f>ROUND(SUM(H57,K57,N57),0)</f>
        <v/>
      </c>
    </row>
    <row r="58">
      <c r="A58" s="6" t="n">
        <v>49</v>
      </c>
      <c r="B58" s="6" t="n">
        <v>2</v>
      </c>
      <c r="C58" s="6" t="n"/>
      <c r="D58" s="6" t="n">
        <v>2</v>
      </c>
      <c r="E58" s="6" t="n"/>
      <c r="F58" s="6" t="n">
        <v>2</v>
      </c>
      <c r="G58" s="6" t="n"/>
      <c r="H58" s="6">
        <f>ROUND(SUM(B58:G58),0)</f>
        <v/>
      </c>
      <c r="I58" s="6" t="n">
        <v>5</v>
      </c>
      <c r="J58" s="6" t="n"/>
      <c r="K58" s="6">
        <f>ROUND(SUM(I58:J58),0)</f>
        <v/>
      </c>
      <c r="L58" s="6" t="n"/>
      <c r="M58" s="6" t="n">
        <v>4</v>
      </c>
      <c r="N58" s="6">
        <f>ROUND(SUM(L58:M58),0)</f>
        <v/>
      </c>
      <c r="O58" s="6">
        <f>ROUND(SUM(H58,K58,N58),0)</f>
        <v/>
      </c>
    </row>
    <row r="59">
      <c r="A59" s="6" t="n">
        <v>50</v>
      </c>
      <c r="B59" s="6" t="n">
        <v>2</v>
      </c>
      <c r="C59" s="6" t="n">
        <v>2</v>
      </c>
      <c r="D59" s="6" t="n"/>
      <c r="E59" s="6" t="n">
        <v>1</v>
      </c>
      <c r="F59" s="6" t="n">
        <v>2</v>
      </c>
      <c r="G59" s="6" t="n">
        <v>2</v>
      </c>
      <c r="H59" s="6">
        <f>ROUND(SUM(B59:G59),0)</f>
        <v/>
      </c>
      <c r="I59" s="6" t="n">
        <v>3</v>
      </c>
      <c r="J59" s="6" t="n"/>
      <c r="K59" s="6">
        <f>ROUND(SUM(I59:J59),0)</f>
        <v/>
      </c>
      <c r="L59" s="6" t="n">
        <v>4</v>
      </c>
      <c r="M59" s="6" t="n"/>
      <c r="N59" s="6">
        <f>ROUND(SUM(L59:M59),0)</f>
        <v/>
      </c>
      <c r="O59" s="6">
        <f>ROUND(SUM(H59,K59,N59),0)</f>
        <v/>
      </c>
    </row>
    <row r="60">
      <c r="A60" s="6" t="n">
        <v>51</v>
      </c>
      <c r="B60" s="6" t="n">
        <v>2</v>
      </c>
      <c r="C60" s="6" t="n"/>
      <c r="D60" s="6" t="n">
        <v>2</v>
      </c>
      <c r="E60" s="6" t="n"/>
      <c r="F60" s="6" t="n">
        <v>2</v>
      </c>
      <c r="G60" s="6" t="n"/>
      <c r="H60" s="6">
        <f>ROUND(SUM(B60:G60),0)</f>
        <v/>
      </c>
      <c r="I60" s="6" t="n">
        <v>5</v>
      </c>
      <c r="J60" s="6" t="n"/>
      <c r="K60" s="6">
        <f>ROUND(SUM(I60:J60),0)</f>
        <v/>
      </c>
      <c r="L60" s="6" t="n"/>
      <c r="M60" s="6" t="n">
        <v>4</v>
      </c>
      <c r="N60" s="6">
        <f>ROUND(SUM(L60:M60),0)</f>
        <v/>
      </c>
      <c r="O60" s="6">
        <f>ROUND(SUM(H60,K60,N60),0)</f>
        <v/>
      </c>
    </row>
    <row r="61">
      <c r="A61" s="6" t="n">
        <v>52</v>
      </c>
      <c r="B61" s="6" t="n">
        <v>2</v>
      </c>
      <c r="C61" s="6" t="n"/>
      <c r="D61" s="6" t="n">
        <v>2</v>
      </c>
      <c r="E61" s="6" t="n"/>
      <c r="F61" s="6" t="n">
        <v>2</v>
      </c>
      <c r="G61" s="6" t="n"/>
      <c r="H61" s="6">
        <f>ROUND(SUM(B61:G61),0)</f>
        <v/>
      </c>
      <c r="I61" s="6" t="n">
        <v>5</v>
      </c>
      <c r="J61" s="6" t="n"/>
      <c r="K61" s="6">
        <f>ROUND(SUM(I61:J61),0)</f>
        <v/>
      </c>
      <c r="L61" s="6" t="n"/>
      <c r="M61" s="6" t="n">
        <v>4</v>
      </c>
      <c r="N61" s="6">
        <f>ROUND(SUM(L61:M61),0)</f>
        <v/>
      </c>
      <c r="O61" s="6">
        <f>ROUND(SUM(H61,K61,N61),0)</f>
        <v/>
      </c>
    </row>
    <row r="62">
      <c r="A62" s="6" t="n">
        <v>53</v>
      </c>
      <c r="B62" s="6" t="n">
        <v>2</v>
      </c>
      <c r="C62" s="6" t="n">
        <v>2</v>
      </c>
      <c r="D62" s="6" t="n">
        <v>2</v>
      </c>
      <c r="E62" s="6" t="n">
        <v>2</v>
      </c>
      <c r="F62" s="6" t="n">
        <v>2</v>
      </c>
      <c r="G62" s="6" t="n"/>
      <c r="H62" s="6">
        <f>ROUND(SUM(B62:G62),0)</f>
        <v/>
      </c>
      <c r="I62" s="6" t="n">
        <v>5</v>
      </c>
      <c r="J62" s="6" t="n"/>
      <c r="K62" s="6">
        <f>ROUND(SUM(I62:J62),0)</f>
        <v/>
      </c>
      <c r="L62" s="6" t="n"/>
      <c r="M62" s="6" t="n">
        <v>5</v>
      </c>
      <c r="N62" s="6">
        <f>ROUND(SUM(L62:M62),0)</f>
        <v/>
      </c>
      <c r="O62" s="6">
        <f>ROUND(SUM(H62,K62,N62),0)</f>
        <v/>
      </c>
    </row>
    <row r="63">
      <c r="A63" s="6" t="n">
        <v>54</v>
      </c>
      <c r="B63" s="6" t="n">
        <v>2</v>
      </c>
      <c r="C63" s="6" t="n"/>
      <c r="D63" s="6" t="n">
        <v>2</v>
      </c>
      <c r="E63" s="6" t="n"/>
      <c r="F63" s="6" t="n">
        <v>2</v>
      </c>
      <c r="G63" s="6" t="n"/>
      <c r="H63" s="6">
        <f>ROUND(SUM(B63:G63),0)</f>
        <v/>
      </c>
      <c r="I63" s="6" t="n">
        <v>5</v>
      </c>
      <c r="J63" s="6" t="n"/>
      <c r="K63" s="6">
        <f>ROUND(SUM(I63:J63),0)</f>
        <v/>
      </c>
      <c r="L63" s="6" t="n"/>
      <c r="M63" s="6" t="n">
        <v>4</v>
      </c>
      <c r="N63" s="6">
        <f>ROUND(SUM(L63:M63),0)</f>
        <v/>
      </c>
      <c r="O63" s="6">
        <f>ROUND(SUM(H63,K63,N63),0)</f>
        <v/>
      </c>
    </row>
    <row r="64">
      <c r="A64" s="6" t="n">
        <v>55</v>
      </c>
      <c r="B64" s="6" t="n">
        <v>2</v>
      </c>
      <c r="C64" s="6" t="n">
        <v>2</v>
      </c>
      <c r="D64" s="6" t="n"/>
      <c r="E64" s="6" t="n">
        <v>1</v>
      </c>
      <c r="F64" s="6" t="n">
        <v>2</v>
      </c>
      <c r="G64" s="6" t="n">
        <v>2</v>
      </c>
      <c r="H64" s="6">
        <f>ROUND(SUM(B64:G64),0)</f>
        <v/>
      </c>
      <c r="I64" s="6" t="n">
        <v>3</v>
      </c>
      <c r="J64" s="6" t="n"/>
      <c r="K64" s="6">
        <f>ROUND(SUM(I64:J64),0)</f>
        <v/>
      </c>
      <c r="L64" s="6" t="n">
        <v>4</v>
      </c>
      <c r="M64" s="6" t="n"/>
      <c r="N64" s="6">
        <f>ROUND(SUM(L64:M64),0)</f>
        <v/>
      </c>
      <c r="O64" s="6">
        <f>ROUND(SUM(H64,K64,N64),0)</f>
        <v/>
      </c>
    </row>
    <row r="65">
      <c r="A65" s="6" t="n">
        <v>56</v>
      </c>
      <c r="B65" s="6" t="n">
        <v>2</v>
      </c>
      <c r="C65" s="6" t="n">
        <v>2</v>
      </c>
      <c r="D65" s="6" t="n">
        <v>2</v>
      </c>
      <c r="E65" s="6" t="n">
        <v>2</v>
      </c>
      <c r="F65" s="6" t="n">
        <v>2</v>
      </c>
      <c r="G65" s="6" t="n"/>
      <c r="H65" s="6">
        <f>ROUND(SUM(B65:G65),0)</f>
        <v/>
      </c>
      <c r="I65" s="6" t="n">
        <v>5</v>
      </c>
      <c r="J65" s="6" t="n"/>
      <c r="K65" s="6">
        <f>ROUND(SUM(I65:J65),0)</f>
        <v/>
      </c>
      <c r="L65" s="6" t="n"/>
      <c r="M65" s="6" t="n">
        <v>5</v>
      </c>
      <c r="N65" s="6">
        <f>ROUND(SUM(L65:M65),0)</f>
        <v/>
      </c>
      <c r="O65" s="6">
        <f>ROUND(SUM(H65,K65,N65),0)</f>
        <v/>
      </c>
    </row>
    <row r="66">
      <c r="A66" s="6" t="n">
        <v>57</v>
      </c>
      <c r="B66" s="6" t="n">
        <v>2</v>
      </c>
      <c r="C66" s="6" t="n"/>
      <c r="D66" s="6" t="n">
        <v>2</v>
      </c>
      <c r="E66" s="6" t="n"/>
      <c r="F66" s="6" t="n">
        <v>2</v>
      </c>
      <c r="G66" s="6" t="n"/>
      <c r="H66" s="6">
        <f>ROUND(SUM(B66:G66),0)</f>
        <v/>
      </c>
      <c r="I66" s="6" t="n">
        <v>5</v>
      </c>
      <c r="J66" s="6" t="n"/>
      <c r="K66" s="6">
        <f>ROUND(SUM(I66:J66),0)</f>
        <v/>
      </c>
      <c r="L66" s="6" t="n"/>
      <c r="M66" s="6" t="n">
        <v>4</v>
      </c>
      <c r="N66" s="6">
        <f>ROUND(SUM(L66:M66),0)</f>
        <v/>
      </c>
      <c r="O66" s="6">
        <f>ROUND(SUM(H66,K66,N66),0)</f>
        <v/>
      </c>
    </row>
    <row r="67">
      <c r="A67" s="6" t="n">
        <v>58</v>
      </c>
      <c r="B67" s="6" t="n">
        <v>1</v>
      </c>
      <c r="C67" s="6" t="n">
        <v>2</v>
      </c>
      <c r="D67" s="6" t="n">
        <v>2</v>
      </c>
      <c r="E67" s="6" t="n">
        <v>1</v>
      </c>
      <c r="F67" s="6" t="n"/>
      <c r="G67" s="6" t="n"/>
      <c r="H67" s="6">
        <f>ROUND(SUM(B67:G67),0)</f>
        <v/>
      </c>
      <c r="I67" s="6" t="n"/>
      <c r="J67" s="6" t="n">
        <v>4</v>
      </c>
      <c r="K67" s="6">
        <f>ROUND(SUM(I67:J67),0)</f>
        <v/>
      </c>
      <c r="L67" s="6" t="n"/>
      <c r="M67" s="6" t="n">
        <v>5</v>
      </c>
      <c r="N67" s="6">
        <f>ROUND(SUM(L67:M67),0)</f>
        <v/>
      </c>
      <c r="O67" s="6">
        <f>ROUND(SUM(H67,K67,N67),0)</f>
        <v/>
      </c>
    </row>
    <row r="68">
      <c r="A68" s="6" t="n">
        <v>59</v>
      </c>
      <c r="B68" s="6" t="n">
        <v>2</v>
      </c>
      <c r="C68" s="6" t="n"/>
      <c r="D68" s="6" t="n">
        <v>2</v>
      </c>
      <c r="E68" s="6" t="n"/>
      <c r="F68" s="6" t="n">
        <v>2</v>
      </c>
      <c r="G68" s="6" t="n"/>
      <c r="H68" s="6">
        <f>ROUND(SUM(B68:G68),0)</f>
        <v/>
      </c>
      <c r="I68" s="6" t="n">
        <v>5</v>
      </c>
      <c r="J68" s="6" t="n"/>
      <c r="K68" s="6">
        <f>ROUND(SUM(I68:J68),0)</f>
        <v/>
      </c>
      <c r="L68" s="6" t="n"/>
      <c r="M68" s="6" t="n">
        <v>4</v>
      </c>
      <c r="N68" s="6">
        <f>ROUND(SUM(L68:M68),0)</f>
        <v/>
      </c>
      <c r="O68" s="6">
        <f>ROUND(SUM(H68,K68,N68),0)</f>
        <v/>
      </c>
    </row>
    <row r="69">
      <c r="A69" s="6" t="n">
        <v>60</v>
      </c>
      <c r="B69" s="6" t="n">
        <v>2</v>
      </c>
      <c r="C69" s="6" t="n">
        <v>2</v>
      </c>
      <c r="D69" s="6" t="n"/>
      <c r="E69" s="6" t="n">
        <v>1</v>
      </c>
      <c r="F69" s="6" t="n">
        <v>2</v>
      </c>
      <c r="G69" s="6" t="n">
        <v>2</v>
      </c>
      <c r="H69" s="6">
        <f>ROUND(SUM(B69:G69),0)</f>
        <v/>
      </c>
      <c r="I69" s="6" t="n">
        <v>3</v>
      </c>
      <c r="J69" s="6" t="n"/>
      <c r="K69" s="6">
        <f>ROUND(SUM(I69:J69),0)</f>
        <v/>
      </c>
      <c r="L69" s="6" t="n">
        <v>4</v>
      </c>
      <c r="M69" s="6" t="n"/>
      <c r="N69" s="6">
        <f>ROUND(SUM(L69:M69),0)</f>
        <v/>
      </c>
      <c r="O69" s="6">
        <f>ROUND(SUM(H69,K69,N69),0)</f>
        <v/>
      </c>
    </row>
    <row r="70">
      <c r="A70" s="19" t="inlineStr">
        <is>
          <t>Count(Attempted)</t>
        </is>
      </c>
      <c r="B70" s="6">
        <f>COUNT(B10:B69)</f>
        <v/>
      </c>
      <c r="C70" s="6">
        <f>COUNT(C10:C69)</f>
        <v/>
      </c>
      <c r="D70" s="6">
        <f>COUNT(D10:D69)</f>
        <v/>
      </c>
      <c r="E70" s="6">
        <f>COUNT(E10:E69)</f>
        <v/>
      </c>
      <c r="F70" s="6">
        <f>COUNT(F10:F69)</f>
        <v/>
      </c>
      <c r="G70" s="6">
        <f>COUNT(G10:G69)</f>
        <v/>
      </c>
      <c r="H70" s="6">
        <f>COUNT(H10:H69)</f>
        <v/>
      </c>
      <c r="I70" s="6">
        <f>COUNT(I10:I69)</f>
        <v/>
      </c>
      <c r="J70" s="6">
        <f>COUNT(J10:J69)</f>
        <v/>
      </c>
      <c r="K70" s="6">
        <f>COUNT(K10:K69)</f>
        <v/>
      </c>
      <c r="L70" s="6">
        <f>COUNT(L10:L69)</f>
        <v/>
      </c>
      <c r="M70" s="6">
        <f>COUNT(M10:M69)</f>
        <v/>
      </c>
      <c r="N70" s="6">
        <f>COUNT(N10:N69)</f>
        <v/>
      </c>
      <c r="O70" s="6">
        <f>COUNT(O10:O69)</f>
        <v/>
      </c>
    </row>
    <row r="71">
      <c r="A71" s="19" t="inlineStr">
        <is>
          <t>Average Marks</t>
        </is>
      </c>
      <c r="B71" s="6">
        <f>IF(COUNT(B10:B69)=0, "-", ROUND(AVERAGE(B10:B69), 0))</f>
        <v/>
      </c>
      <c r="C71" s="6">
        <f>IF(COUNT(C10:C69)=0, "-", ROUND(AVERAGE(C10:C69), 0))</f>
        <v/>
      </c>
      <c r="D71" s="6">
        <f>IF(COUNT(D10:D69)=0, "-", ROUND(AVERAGE(D10:D69), 0))</f>
        <v/>
      </c>
      <c r="E71" s="6">
        <f>IF(COUNT(E10:E69)=0, "-", ROUND(AVERAGE(E10:E69), 0))</f>
        <v/>
      </c>
      <c r="F71" s="6">
        <f>IF(COUNT(F10:F69)=0, "-", ROUND(AVERAGE(F10:F69), 0))</f>
        <v/>
      </c>
      <c r="G71" s="6">
        <f>IF(COUNT(G10:G69)=0, "-", ROUND(AVERAGE(G10:G69), 0))</f>
        <v/>
      </c>
      <c r="H71" s="6">
        <f>IF(COUNT(H10:H69)=0, "-", ROUND(AVERAGE(H10:H69), 0))</f>
        <v/>
      </c>
      <c r="I71" s="6">
        <f>IF(COUNT(I10:I69)=0, "-", ROUND(AVERAGE(I10:I69), 0))</f>
        <v/>
      </c>
      <c r="J71" s="6">
        <f>IF(COUNT(J10:J69)=0, "-", ROUND(AVERAGE(J10:J69), 0))</f>
        <v/>
      </c>
      <c r="K71" s="6">
        <f>IF(COUNT(K10:K69)=0, "-", ROUND(AVERAGE(K10:K69), 0))</f>
        <v/>
      </c>
      <c r="L71" s="6">
        <f>IF(COUNT(L10:L69)=0, "-", ROUND(AVERAGE(L10:L69), 0))</f>
        <v/>
      </c>
      <c r="M71" s="6">
        <f>IF(COUNT(M10:M69)=0, "-", ROUND(AVERAGE(M10:M69), 0))</f>
        <v/>
      </c>
      <c r="N71" s="6">
        <f>IF(COUNT(N10:N69)=0, "-", ROUND(AVERAGE(N10:N69), 0))</f>
        <v/>
      </c>
      <c r="O71" s="6">
        <f>IF(COUNT(O10:O69)=0, "-", ROUND(AVERAGE(O10:O69), 0))</f>
        <v/>
      </c>
    </row>
    <row r="72">
      <c r="A72" s="19" t="inlineStr">
        <is>
          <t>Count(&gt;=52.5%)</t>
        </is>
      </c>
      <c r="B72" s="6">
        <f>COUNTIF(B10:B69,"&gt;=1.05")</f>
        <v/>
      </c>
      <c r="C72" s="6">
        <f>COUNTIF(C10:C69,"&gt;=1.05")</f>
        <v/>
      </c>
      <c r="D72" s="6">
        <f>COUNTIF(D10:D69,"&gt;=1.05")</f>
        <v/>
      </c>
      <c r="E72" s="6">
        <f>COUNTIF(E10:E69,"&gt;=1.05")</f>
        <v/>
      </c>
      <c r="F72" s="6">
        <f>COUNTIF(F10:F69,"&gt;=1.05")</f>
        <v/>
      </c>
      <c r="G72" s="6">
        <f>COUNTIF(G10:G69,"&gt;=1.05")</f>
        <v/>
      </c>
      <c r="H72" s="6">
        <f>COUNTIF(H10:H69,"&gt;=2.625")</f>
        <v/>
      </c>
      <c r="I72" s="6">
        <f>COUNTIF(I10:I69,"&gt;=2.625")</f>
        <v/>
      </c>
      <c r="J72" s="6">
        <f>COUNTIF(J10:J69,"&gt;=2.625")</f>
        <v/>
      </c>
      <c r="K72" s="6">
        <f>COUNTIF(K10:K69,"&gt;=2.625")</f>
        <v/>
      </c>
      <c r="L72" s="6">
        <f>COUNTIF(L10:L69,"&gt;=2.625")</f>
        <v/>
      </c>
      <c r="M72" s="6">
        <f>COUNTIF(M10:M69,"&gt;=2.625")</f>
        <v/>
      </c>
      <c r="N72" s="6">
        <f>COUNTIF(N10:N69,"&gt;=2.625")</f>
        <v/>
      </c>
      <c r="O72" s="6">
        <f>COUNTIF(O10:O69,"&gt;=2.625")</f>
        <v/>
      </c>
    </row>
    <row r="73">
      <c r="A73" s="19" t="inlineStr">
        <is>
          <t>% Count(&gt;=52.5% w.r.t appeared)</t>
        </is>
      </c>
      <c r="B73" s="6">
        <f>ROUND(IFERROR(B72/B70, 0)*100, 1)</f>
        <v/>
      </c>
      <c r="C73" s="6">
        <f>ROUND(IFERROR(C72/C70, 0)*100, 1)</f>
        <v/>
      </c>
      <c r="D73" s="6">
        <f>ROUND(IFERROR(D72/D70, 0)*100, 1)</f>
        <v/>
      </c>
      <c r="E73" s="6">
        <f>ROUND(IFERROR(E72/E70, 0)*100, 1)</f>
        <v/>
      </c>
      <c r="F73" s="6">
        <f>ROUND(IFERROR(F72/F70, 0)*100, 1)</f>
        <v/>
      </c>
      <c r="G73" s="6">
        <f>ROUND(IFERROR(G72/G70, 0)*100, 1)</f>
        <v/>
      </c>
      <c r="H73" s="6">
        <f>ROUND(IFERROR(H72/H70, 0)*100, 1)</f>
        <v/>
      </c>
      <c r="I73" s="6">
        <f>ROUND(IFERROR(I72/I70, 0)*100, 1)</f>
        <v/>
      </c>
      <c r="J73" s="6">
        <f>ROUND(IFERROR(J72/J70, 0)*100, 1)</f>
        <v/>
      </c>
      <c r="K73" s="6">
        <f>ROUND(IFERROR(K72/K70, 0)*100, 1)</f>
        <v/>
      </c>
      <c r="L73" s="6">
        <f>ROUND(IFERROR(L72/L70, 0)*100, 1)</f>
        <v/>
      </c>
      <c r="M73" s="6">
        <f>ROUND(IFERROR(M72/M70, 0)*100, 1)</f>
        <v/>
      </c>
      <c r="N73" s="6">
        <f>ROUND(IFERROR(N72/N70, 0)*100, 1)</f>
        <v/>
      </c>
      <c r="O73" s="6">
        <f>ROUND(IFERROR(O72/O70, 0)*100, 1)</f>
        <v/>
      </c>
    </row>
    <row r="74">
      <c r="A74" s="19" t="inlineStr">
        <is>
          <t>Count(&gt;=Average Marks of class)</t>
        </is>
      </c>
      <c r="B74" s="6">
        <f>COUNTIF(B10:B69,"&gt;="&amp;B71)</f>
        <v/>
      </c>
      <c r="C74" s="6">
        <f>COUNTIF(C10:C69,"&gt;="&amp;C71)</f>
        <v/>
      </c>
      <c r="D74" s="6">
        <f>COUNTIF(D10:D69,"&gt;="&amp;D71)</f>
        <v/>
      </c>
      <c r="E74" s="6">
        <f>COUNTIF(E10:E69,"&gt;="&amp;E71)</f>
        <v/>
      </c>
      <c r="F74" s="6">
        <f>COUNTIF(F10:F69,"&gt;="&amp;F71)</f>
        <v/>
      </c>
      <c r="G74" s="6">
        <f>COUNTIF(G10:G69,"&gt;="&amp;G71)</f>
        <v/>
      </c>
      <c r="H74" s="6">
        <f>COUNTIF(H10:H69,"&gt;="&amp;H71)</f>
        <v/>
      </c>
      <c r="I74" s="6">
        <f>COUNTIF(I10:I69,"&gt;="&amp;I71)</f>
        <v/>
      </c>
      <c r="J74" s="6">
        <f>COUNTIF(J10:J69,"&gt;="&amp;J71)</f>
        <v/>
      </c>
      <c r="K74" s="6">
        <f>COUNTIF(K10:K69,"&gt;="&amp;K71)</f>
        <v/>
      </c>
      <c r="L74" s="6">
        <f>COUNTIF(L10:L69,"&gt;="&amp;L71)</f>
        <v/>
      </c>
      <c r="M74" s="6">
        <f>COUNTIF(M10:M69,"&gt;="&amp;M71)</f>
        <v/>
      </c>
      <c r="N74" s="6">
        <f>COUNTIF(N10:N69,"&gt;="&amp;N71)</f>
        <v/>
      </c>
      <c r="O74" s="6">
        <f>COUNTIF(O10:O69,"&gt;="&amp;O71)</f>
        <v/>
      </c>
    </row>
    <row r="75">
      <c r="A75" s="19" t="inlineStr">
        <is>
          <t>% Count(&gt;=Average Marks of class w.r.t appeared)</t>
        </is>
      </c>
      <c r="B75" s="6">
        <f>ROUND(IFERROR(B74/B70, 0)*100, 1)</f>
        <v/>
      </c>
      <c r="C75" s="6">
        <f>ROUND(IFERROR(C74/C70, 0)*100, 1)</f>
        <v/>
      </c>
      <c r="D75" s="6">
        <f>ROUND(IFERROR(D74/D70, 0)*100, 1)</f>
        <v/>
      </c>
      <c r="E75" s="6">
        <f>ROUND(IFERROR(E74/E70, 0)*100, 1)</f>
        <v/>
      </c>
      <c r="F75" s="6">
        <f>ROUND(IFERROR(F74/F70, 0)*100, 1)</f>
        <v/>
      </c>
      <c r="G75" s="6">
        <f>ROUND(IFERROR(G74/G70, 0)*100, 1)</f>
        <v/>
      </c>
      <c r="H75" s="6">
        <f>ROUND(IFERROR(H74/H70, 0)*100, 1)</f>
        <v/>
      </c>
      <c r="I75" s="6">
        <f>ROUND(IFERROR(I74/I70, 0)*100, 1)</f>
        <v/>
      </c>
      <c r="J75" s="6">
        <f>ROUND(IFERROR(J74/J70, 0)*100, 1)</f>
        <v/>
      </c>
      <c r="K75" s="6">
        <f>ROUND(IFERROR(K74/K70, 0)*100, 1)</f>
        <v/>
      </c>
      <c r="L75" s="6">
        <f>ROUND(IFERROR(L74/L70, 0)*100, 1)</f>
        <v/>
      </c>
      <c r="M75" s="6">
        <f>ROUND(IFERROR(M74/M70, 0)*100, 1)</f>
        <v/>
      </c>
      <c r="N75" s="6">
        <f>ROUND(IFERROR(N74/N70, 0)*100, 1)</f>
        <v/>
      </c>
      <c r="O75" s="6">
        <f>ROUND(IFERROR(O74/O70, 0)*100, 1)</f>
        <v/>
      </c>
    </row>
    <row r="76">
      <c r="A76" s="29" t="inlineStr">
        <is>
          <t>AL(Based on &gt;=52.5% Count) (All COs)</t>
        </is>
      </c>
      <c r="B76" s="5">
        <f>IF(B73&lt;60,1,IF(AND(B73&gt;59,B73&lt;70),2,IF(AND(B73&gt;69,B73&lt;80),3,4)))</f>
        <v/>
      </c>
      <c r="C76" s="5">
        <f>IF(C73&lt;60,1,IF(AND(C73&gt;59,C73&lt;70),2,IF(AND(C73&gt;69,C73&lt;80),3,4)))</f>
        <v/>
      </c>
      <c r="D76" s="5">
        <f>IF(D73&lt;60,1,IF(AND(D73&gt;59,D73&lt;70),2,IF(AND(D73&gt;69,D73&lt;80),3,4)))</f>
        <v/>
      </c>
      <c r="E76" s="5">
        <f>IF(E73&lt;60,1,IF(AND(E73&gt;59,E73&lt;70),2,IF(AND(E73&gt;69,E73&lt;80),3,4)))</f>
        <v/>
      </c>
      <c r="F76" s="5">
        <f>IF(F73&lt;60,1,IF(AND(F73&gt;59,F73&lt;70),2,IF(AND(F73&gt;69,F73&lt;80),3,4)))</f>
        <v/>
      </c>
      <c r="G76" s="5">
        <f>IF(G73&lt;60,1,IF(AND(G73&gt;59,G73&lt;70),2,IF(AND(G73&gt;69,G73&lt;80),3,4)))</f>
        <v/>
      </c>
      <c r="H76" s="5">
        <f>IF(H73&lt;60,1,IF(AND(H73&gt;59,H73&lt;70),2,IF(AND(H73&gt;69,H73&lt;80),3,4)))</f>
        <v/>
      </c>
      <c r="I76" s="5">
        <f>IF(I73&lt;60,1,IF(AND(I73&gt;59,I73&lt;70),2,IF(AND(I73&gt;69,I73&lt;80),3,4)))</f>
        <v/>
      </c>
      <c r="J76" s="5">
        <f>IF(J73&lt;60,1,IF(AND(J73&gt;59,J73&lt;70),2,IF(AND(J73&gt;69,J73&lt;80),3,4)))</f>
        <v/>
      </c>
      <c r="K76" s="5">
        <f>IF(K73&lt;60,1,IF(AND(K73&gt;59,K73&lt;70),2,IF(AND(K73&gt;69,K73&lt;80),3,4)))</f>
        <v/>
      </c>
      <c r="L76" s="5">
        <f>IF(L73&lt;60,1,IF(AND(L73&gt;59,L73&lt;70),2,IF(AND(L73&gt;69,L73&lt;80),3,4)))</f>
        <v/>
      </c>
      <c r="M76" s="5">
        <f>IF(M73&lt;60,1,IF(AND(M73&gt;59,M73&lt;70),2,IF(AND(M73&gt;69,M73&lt;80),3,4)))</f>
        <v/>
      </c>
      <c r="N76" s="5">
        <f>IF(N73&lt;60,1,IF(AND(N73&gt;59,N73&lt;70),2,IF(AND(N73&gt;69,N73&lt;80),3,4)))</f>
        <v/>
      </c>
      <c r="O76" s="5">
        <f>IF(O73&lt;60,1,IF(AND(O73&gt;59,O73&lt;70),2,IF(AND(O73&gt;69,O73&lt;80),3,4)))</f>
        <v/>
      </c>
    </row>
    <row r="79">
      <c r="F79" s="5" t="inlineStr">
        <is>
          <t>COs</t>
        </is>
      </c>
      <c r="G79" s="5" t="inlineStr">
        <is>
          <t>AL</t>
        </is>
      </c>
    </row>
    <row r="80">
      <c r="F80" s="6" t="inlineStr">
        <is>
          <t>CO1</t>
        </is>
      </c>
      <c r="G80" s="6">
        <f>ROUND(AVERAGE(B76,D76,F76,M76),1)</f>
        <v/>
      </c>
    </row>
    <row r="81">
      <c r="F81" s="6" t="inlineStr">
        <is>
          <t>CO2</t>
        </is>
      </c>
      <c r="G81" s="6">
        <f>ROUND(AVERAGE(C76,E76,G76,I76,L76),1)</f>
        <v/>
      </c>
    </row>
    <row r="82">
      <c r="F82" s="6" t="inlineStr">
        <is>
          <t>CO3</t>
        </is>
      </c>
      <c r="G82" s="6">
        <f>ROUND(AVERAGE(I76,J76),1)</f>
        <v/>
      </c>
    </row>
    <row r="83">
      <c r="F83" s="6" t="inlineStr">
        <is>
          <t>CO4</t>
        </is>
      </c>
      <c r="G83" s="6">
        <f>ROUND(AVERAGE(J76,L76,M76),1)</f>
        <v/>
      </c>
    </row>
    <row r="84">
      <c r="F84" s="6" t="inlineStr">
        <is>
          <t>CO5</t>
        </is>
      </c>
      <c r="G84" s="6" t="inlineStr">
        <is>
          <t>-</t>
        </is>
      </c>
    </row>
    <row r="85">
      <c r="F85" s="6" t="inlineStr">
        <is>
          <t>CO6</t>
        </is>
      </c>
      <c r="G85" s="6" t="inlineStr">
        <is>
          <t>-</t>
        </is>
      </c>
    </row>
  </sheetData>
  <mergeCells count="7">
    <mergeCell ref="A7:O7"/>
    <mergeCell ref="A2:O2"/>
    <mergeCell ref="A1:O1"/>
    <mergeCell ref="A5:O5"/>
    <mergeCell ref="A6:O6"/>
    <mergeCell ref="A4:O4"/>
    <mergeCell ref="A3:O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9"/>
  <sheetViews>
    <sheetView topLeftCell="A43" workbookViewId="0">
      <selection activeCell="B63" sqref="B63"/>
    </sheetView>
  </sheetViews>
  <sheetFormatPr baseColWidth="8" defaultColWidth="9" defaultRowHeight="14.4"/>
  <cols>
    <col width="42" customWidth="1" min="1" max="1"/>
    <col width="22" customWidth="1" min="2" max="2"/>
  </cols>
  <sheetData>
    <row r="1">
      <c r="A1" s="5" t="inlineStr">
        <is>
          <t>Roll No.</t>
        </is>
      </c>
      <c r="B1" s="5" t="inlineStr">
        <is>
          <t>ESE(TH) (Max Marks: 60)</t>
        </is>
      </c>
    </row>
    <row r="2">
      <c r="A2" s="6" t="n"/>
      <c r="B2" s="5" t="inlineStr">
        <is>
          <t>ALL Qs</t>
        </is>
      </c>
    </row>
    <row r="3">
      <c r="A3" s="6" t="n"/>
      <c r="B3" s="5" t="inlineStr">
        <is>
          <t>CO1,2,3,4,5,6</t>
        </is>
      </c>
    </row>
    <row r="4">
      <c r="A4" s="6" t="n">
        <v>1</v>
      </c>
      <c r="B4" s="6" t="n">
        <v>36</v>
      </c>
    </row>
    <row r="5">
      <c r="A5" s="6" t="n">
        <v>2</v>
      </c>
      <c r="B5" s="6" t="n">
        <v>40</v>
      </c>
    </row>
    <row r="6">
      <c r="A6" s="6" t="n">
        <v>3</v>
      </c>
      <c r="B6" s="6" t="n">
        <v>45</v>
      </c>
    </row>
    <row r="7">
      <c r="A7" s="6" t="n">
        <v>4</v>
      </c>
      <c r="B7" s="6" t="n">
        <v>58</v>
      </c>
    </row>
    <row r="8">
      <c r="A8" s="6" t="n">
        <v>5</v>
      </c>
      <c r="B8" s="6" t="n">
        <v>60</v>
      </c>
    </row>
    <row r="9">
      <c r="A9" s="6" t="n">
        <v>6</v>
      </c>
      <c r="B9" s="6" t="n">
        <v>40</v>
      </c>
    </row>
    <row r="10">
      <c r="A10" s="6" t="n">
        <v>7</v>
      </c>
      <c r="B10" s="6" t="n">
        <v>25</v>
      </c>
    </row>
    <row r="11">
      <c r="A11" s="6" t="n">
        <v>8</v>
      </c>
      <c r="B11" s="6" t="n">
        <v>30</v>
      </c>
    </row>
    <row r="12">
      <c r="A12" s="6" t="n">
        <v>9</v>
      </c>
      <c r="B12" s="6" t="n">
        <v>38</v>
      </c>
    </row>
    <row r="13">
      <c r="A13" s="6" t="n">
        <v>10</v>
      </c>
      <c r="B13" s="6" t="n">
        <v>32</v>
      </c>
    </row>
    <row r="14">
      <c r="A14" s="6" t="n">
        <v>11</v>
      </c>
      <c r="B14" s="6" t="n">
        <v>45</v>
      </c>
    </row>
    <row r="15">
      <c r="A15" s="6" t="n">
        <v>12</v>
      </c>
      <c r="B15" s="6" t="n">
        <v>46</v>
      </c>
    </row>
    <row r="16">
      <c r="A16" s="6" t="n">
        <v>13</v>
      </c>
      <c r="B16" s="6" t="n">
        <v>50</v>
      </c>
    </row>
    <row r="17">
      <c r="A17" s="6" t="n">
        <v>14</v>
      </c>
      <c r="B17" s="6" t="n">
        <v>55</v>
      </c>
    </row>
    <row r="18">
      <c r="A18" s="6" t="n">
        <v>15</v>
      </c>
      <c r="B18" s="6" t="n">
        <v>36</v>
      </c>
    </row>
    <row r="19">
      <c r="A19" s="6" t="n">
        <v>16</v>
      </c>
      <c r="B19" s="6" t="n">
        <v>40</v>
      </c>
    </row>
    <row r="20">
      <c r="A20" s="6" t="n">
        <v>17</v>
      </c>
      <c r="B20" s="6" t="n">
        <v>45</v>
      </c>
    </row>
    <row r="21">
      <c r="A21" s="6" t="n">
        <v>18</v>
      </c>
      <c r="B21" s="6" t="n">
        <v>58</v>
      </c>
    </row>
    <row r="22">
      <c r="A22" s="6" t="n">
        <v>19</v>
      </c>
      <c r="B22" s="6" t="n">
        <v>60</v>
      </c>
    </row>
    <row r="23">
      <c r="A23" s="6" t="n">
        <v>20</v>
      </c>
      <c r="B23" s="6" t="n">
        <v>40</v>
      </c>
    </row>
    <row r="24">
      <c r="A24" s="6" t="n">
        <v>21</v>
      </c>
      <c r="B24" s="6" t="n">
        <v>25</v>
      </c>
    </row>
    <row r="25">
      <c r="A25" s="6" t="n">
        <v>22</v>
      </c>
      <c r="B25" s="6" t="n">
        <v>30</v>
      </c>
    </row>
    <row r="26">
      <c r="A26" s="6" t="n">
        <v>23</v>
      </c>
      <c r="B26" s="6" t="n">
        <v>38</v>
      </c>
    </row>
    <row r="27">
      <c r="A27" s="6" t="n">
        <v>24</v>
      </c>
      <c r="B27" s="6" t="n">
        <v>32</v>
      </c>
    </row>
    <row r="28">
      <c r="A28" s="6" t="n">
        <v>25</v>
      </c>
      <c r="B28" s="6" t="n">
        <v>45</v>
      </c>
    </row>
    <row r="29">
      <c r="A29" s="6" t="n">
        <v>26</v>
      </c>
      <c r="B29" s="6" t="n">
        <v>46</v>
      </c>
    </row>
    <row r="30">
      <c r="A30" s="6" t="n">
        <v>27</v>
      </c>
      <c r="B30" s="6" t="n">
        <v>50</v>
      </c>
    </row>
    <row r="31">
      <c r="A31" s="6" t="n">
        <v>28</v>
      </c>
      <c r="B31" s="6" t="n">
        <v>55</v>
      </c>
    </row>
    <row r="32">
      <c r="A32" s="6" t="n">
        <v>29</v>
      </c>
      <c r="B32" s="6" t="n">
        <v>36</v>
      </c>
    </row>
    <row r="33">
      <c r="A33" s="6" t="n">
        <v>30</v>
      </c>
      <c r="B33" s="6" t="n">
        <v>40</v>
      </c>
    </row>
    <row r="34">
      <c r="A34" s="6" t="n">
        <v>31</v>
      </c>
      <c r="B34" s="6" t="n">
        <v>45</v>
      </c>
    </row>
    <row r="35">
      <c r="A35" s="6" t="n">
        <v>32</v>
      </c>
      <c r="B35" s="6" t="n">
        <v>58</v>
      </c>
    </row>
    <row r="36">
      <c r="A36" s="6" t="n">
        <v>33</v>
      </c>
      <c r="B36" s="6" t="n">
        <v>60</v>
      </c>
    </row>
    <row r="37">
      <c r="A37" s="6" t="n">
        <v>34</v>
      </c>
      <c r="B37" s="6" t="n">
        <v>40</v>
      </c>
    </row>
    <row r="38">
      <c r="A38" s="6" t="n">
        <v>35</v>
      </c>
      <c r="B38" s="6" t="n">
        <v>25</v>
      </c>
    </row>
    <row r="39">
      <c r="A39" s="6" t="n">
        <v>36</v>
      </c>
      <c r="B39" s="6" t="n">
        <v>30</v>
      </c>
    </row>
    <row r="40">
      <c r="A40" s="6" t="n">
        <v>37</v>
      </c>
      <c r="B40" s="6" t="n">
        <v>38</v>
      </c>
    </row>
    <row r="41">
      <c r="A41" s="6" t="n">
        <v>38</v>
      </c>
      <c r="B41" s="6" t="n">
        <v>32</v>
      </c>
    </row>
    <row r="42">
      <c r="A42" s="6" t="n">
        <v>39</v>
      </c>
      <c r="B42" s="6" t="n">
        <v>45</v>
      </c>
    </row>
    <row r="43">
      <c r="A43" s="6" t="n">
        <v>40</v>
      </c>
      <c r="B43" s="6" t="n">
        <v>46</v>
      </c>
    </row>
    <row r="44">
      <c r="A44" s="6" t="n">
        <v>41</v>
      </c>
      <c r="B44" s="6" t="n">
        <v>50</v>
      </c>
    </row>
    <row r="45">
      <c r="A45" s="6" t="n">
        <v>42</v>
      </c>
      <c r="B45" s="6" t="n">
        <v>55</v>
      </c>
    </row>
    <row r="46">
      <c r="A46" s="6" t="n">
        <v>43</v>
      </c>
      <c r="B46" s="6" t="n">
        <v>36</v>
      </c>
    </row>
    <row r="47">
      <c r="A47" s="6" t="n">
        <v>44</v>
      </c>
      <c r="B47" s="6" t="n">
        <v>40</v>
      </c>
    </row>
    <row r="48">
      <c r="A48" s="6" t="n">
        <v>45</v>
      </c>
      <c r="B48" s="6" t="n">
        <v>45</v>
      </c>
    </row>
    <row r="49">
      <c r="A49" s="6" t="n">
        <v>46</v>
      </c>
      <c r="B49" s="6" t="n">
        <v>58</v>
      </c>
    </row>
    <row r="50">
      <c r="A50" s="6" t="n">
        <v>47</v>
      </c>
      <c r="B50" s="6" t="n">
        <v>60</v>
      </c>
    </row>
    <row r="51">
      <c r="A51" s="6" t="n">
        <v>48</v>
      </c>
      <c r="B51" s="6" t="n">
        <v>40</v>
      </c>
    </row>
    <row r="52">
      <c r="A52" s="6" t="n">
        <v>49</v>
      </c>
      <c r="B52" s="6" t="n">
        <v>25</v>
      </c>
    </row>
    <row r="53">
      <c r="A53" s="6" t="n">
        <v>50</v>
      </c>
      <c r="B53" s="6" t="n">
        <v>30</v>
      </c>
    </row>
    <row r="54">
      <c r="A54" s="6" t="n">
        <v>51</v>
      </c>
      <c r="B54" s="6" t="n">
        <v>38</v>
      </c>
    </row>
    <row r="55">
      <c r="A55" s="6" t="n">
        <v>52</v>
      </c>
      <c r="B55" s="6" t="n">
        <v>32</v>
      </c>
    </row>
    <row r="56">
      <c r="A56" s="6" t="n">
        <v>53</v>
      </c>
      <c r="B56" s="6" t="n">
        <v>45</v>
      </c>
    </row>
    <row r="57">
      <c r="A57" s="6" t="n">
        <v>54</v>
      </c>
      <c r="B57" s="6" t="n">
        <v>46</v>
      </c>
    </row>
    <row r="58">
      <c r="A58" s="6" t="n">
        <v>55</v>
      </c>
      <c r="B58" s="6" t="n">
        <v>50</v>
      </c>
    </row>
    <row r="59">
      <c r="A59" s="6" t="n">
        <v>56</v>
      </c>
      <c r="B59" s="6" t="n">
        <v>55</v>
      </c>
    </row>
    <row r="60">
      <c r="A60" s="6" t="n">
        <v>57</v>
      </c>
      <c r="B60" s="6" t="n">
        <v>30</v>
      </c>
    </row>
    <row r="61">
      <c r="A61" s="6" t="n">
        <v>58</v>
      </c>
      <c r="B61" s="6" t="n">
        <v>35</v>
      </c>
    </row>
    <row r="62">
      <c r="A62" s="6" t="n">
        <v>59</v>
      </c>
      <c r="B62" s="6" t="n">
        <v>36</v>
      </c>
    </row>
    <row r="63">
      <c r="A63" s="6" t="n">
        <v>60</v>
      </c>
      <c r="B63" s="6" t="n">
        <v>22</v>
      </c>
    </row>
    <row r="64">
      <c r="A64" s="18" t="inlineStr">
        <is>
          <t>Count(Attempted)</t>
        </is>
      </c>
      <c r="B64" s="6">
        <f>COUNT(B4:B63)</f>
        <v/>
      </c>
    </row>
    <row r="65">
      <c r="A65" s="18" t="inlineStr">
        <is>
          <t>Average Marks</t>
        </is>
      </c>
      <c r="B65" s="6">
        <f>ROUND(AVERAGE(B4:B63), 0)</f>
        <v/>
      </c>
    </row>
    <row r="66">
      <c r="A66" s="18" t="inlineStr">
        <is>
          <t>Count(&gt;=60%)</t>
        </is>
      </c>
      <c r="B66" s="6">
        <f>COUNTIF(B4:B63, "&gt;=36.0")</f>
        <v/>
      </c>
    </row>
    <row r="67">
      <c r="A67" s="18" t="inlineStr">
        <is>
          <t>% Count(&gt;=60% w.r.t appeared)</t>
        </is>
      </c>
      <c r="B67" s="6">
        <f>ROUND(B66 / B64 * 100, 1)</f>
        <v/>
      </c>
    </row>
    <row r="68">
      <c r="A68" s="18" t="inlineStr">
        <is>
          <t>Count(&gt;=Average Marks of class)</t>
        </is>
      </c>
      <c r="B68" s="6">
        <f>COUNTIF(B4:B63, "&gt;="&amp;B65)</f>
        <v/>
      </c>
    </row>
    <row r="69">
      <c r="A69" s="18" t="inlineStr">
        <is>
          <t>% Count(&gt;=Average Marks of class w.r.t appeared)</t>
        </is>
      </c>
      <c r="B69" s="6">
        <f>ROUND(B68 / B64 * 100, 1)</f>
        <v/>
      </c>
    </row>
    <row r="70">
      <c r="A70" s="20" t="inlineStr">
        <is>
          <t>AL(Based on &gt;=60% Count) (All COs)</t>
        </is>
      </c>
      <c r="B70" s="5">
        <f>IF(B67&lt;60, 1, IF(AND(B67&gt;59, B67&lt;70), 2, IF(AND(B67&gt;69, B67&lt;80), 3, 4)))</f>
        <v/>
      </c>
    </row>
    <row r="73">
      <c r="A73" s="5" t="inlineStr">
        <is>
          <t>COs</t>
        </is>
      </c>
      <c r="B73" s="5" t="inlineStr">
        <is>
          <t>AL</t>
        </is>
      </c>
    </row>
    <row r="74">
      <c r="A74" s="6" t="inlineStr">
        <is>
          <t>CO1</t>
        </is>
      </c>
      <c r="B74" s="6">
        <f>IF(B67&lt;60, 1, IF(AND(B67&gt;59, B67&lt;70), 2, IF(AND(B67&gt;69, B67&lt;80), 3, 4)))</f>
        <v/>
      </c>
    </row>
    <row r="75">
      <c r="A75" s="6" t="inlineStr">
        <is>
          <t>CO2</t>
        </is>
      </c>
      <c r="B75" s="6">
        <f>IF(B67&lt;60, 1, IF(AND(B67&gt;59, B67&lt;70), 2, IF(AND(B67&gt;69, B67&lt;80), 3, 4)))</f>
        <v/>
      </c>
    </row>
    <row r="76">
      <c r="A76" s="6" t="inlineStr">
        <is>
          <t>CO3</t>
        </is>
      </c>
      <c r="B76" s="6">
        <f>IF(B67&lt;60, 1, IF(AND(B67&gt;59, B67&lt;70), 2, IF(AND(B67&gt;69, B67&lt;80), 3, 4)))</f>
        <v/>
      </c>
    </row>
    <row r="77">
      <c r="A77" s="6" t="inlineStr">
        <is>
          <t>CO4</t>
        </is>
      </c>
      <c r="B77" s="6">
        <f>IF(B67&lt;60, 1, IF(AND(B67&gt;59, B67&lt;70), 2, IF(AND(B67&gt;69, B67&lt;80), 3, 4)))</f>
        <v/>
      </c>
    </row>
    <row r="78">
      <c r="A78" s="6" t="inlineStr">
        <is>
          <t>CO5</t>
        </is>
      </c>
      <c r="B78" s="6">
        <f>IF(B67&lt;60, 1, IF(AND(B67&gt;59, B67&lt;70), 2, IF(AND(B67&gt;69, B67&lt;80), 3, 4)))</f>
        <v/>
      </c>
    </row>
    <row r="79">
      <c r="A79" s="6" t="inlineStr">
        <is>
          <t>CO6</t>
        </is>
      </c>
      <c r="B79" s="6">
        <f>IF(B67&lt;60, 1, IF(AND(B67&gt;59, B67&lt;70), 2, IF(AND(B67&gt;69, B67&lt;80), 3, 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2"/>
  <sheetViews>
    <sheetView workbookViewId="0">
      <selection activeCell="A1" sqref="A1:B1"/>
    </sheetView>
  </sheetViews>
  <sheetFormatPr baseColWidth="8" defaultColWidth="9" defaultRowHeight="14.4"/>
  <cols>
    <col width="42" customWidth="1" min="1" max="1"/>
    <col width="16" customWidth="1" min="2" max="2"/>
  </cols>
  <sheetData>
    <row r="1">
      <c r="A1" s="5" t="inlineStr">
        <is>
          <t>Type :NPTEL Course</t>
        </is>
      </c>
      <c r="B1" s="31" t="n"/>
    </row>
    <row r="2">
      <c r="A2" s="6" t="n"/>
      <c r="B2" s="31" t="n"/>
    </row>
    <row r="3">
      <c r="A3" s="5" t="inlineStr">
        <is>
          <t>CA Marksheet</t>
        </is>
      </c>
      <c r="B3" s="31" t="n"/>
    </row>
    <row r="4">
      <c r="A4" s="5" t="inlineStr">
        <is>
          <t>Maximum Marks = 10</t>
        </is>
      </c>
      <c r="B4" s="31" t="n"/>
    </row>
    <row r="5">
      <c r="A5" s="5" t="inlineStr">
        <is>
          <t>Roll No.</t>
        </is>
      </c>
      <c r="B5" s="5" t="inlineStr">
        <is>
          <t>CA1</t>
        </is>
      </c>
    </row>
    <row r="6">
      <c r="A6" s="6" t="n"/>
      <c r="B6" s="5" t="inlineStr">
        <is>
          <t>CO1,2,3</t>
        </is>
      </c>
    </row>
    <row r="7">
      <c r="A7" s="6" t="n">
        <v>1</v>
      </c>
      <c r="B7" s="6" t="n">
        <v>5</v>
      </c>
    </row>
    <row r="8">
      <c r="A8" s="6" t="n">
        <v>2</v>
      </c>
      <c r="B8" s="6" t="n">
        <v>10</v>
      </c>
    </row>
    <row r="9">
      <c r="A9" s="6" t="n">
        <v>3</v>
      </c>
      <c r="B9" s="6" t="n">
        <v>7</v>
      </c>
    </row>
    <row r="10">
      <c r="A10" s="6" t="n">
        <v>4</v>
      </c>
      <c r="B10" s="6" t="n">
        <v>8</v>
      </c>
    </row>
    <row r="11">
      <c r="A11" s="6" t="n">
        <v>5</v>
      </c>
      <c r="B11" s="6" t="n">
        <v>9</v>
      </c>
    </row>
    <row r="12">
      <c r="A12" s="6" t="n">
        <v>6</v>
      </c>
      <c r="B12" s="6" t="n">
        <v>7</v>
      </c>
    </row>
    <row r="13">
      <c r="A13" s="6" t="n">
        <v>7</v>
      </c>
      <c r="B13" s="6" t="n">
        <v>5</v>
      </c>
    </row>
    <row r="14">
      <c r="A14" s="6" t="n">
        <v>8</v>
      </c>
      <c r="B14" s="6" t="n">
        <v>5</v>
      </c>
    </row>
    <row r="15">
      <c r="A15" s="6" t="n">
        <v>9</v>
      </c>
      <c r="B15" s="6" t="n">
        <v>6</v>
      </c>
    </row>
    <row r="16">
      <c r="A16" s="6" t="n">
        <v>10</v>
      </c>
      <c r="B16" s="6" t="n">
        <v>7</v>
      </c>
    </row>
    <row r="17">
      <c r="A17" s="6" t="n">
        <v>11</v>
      </c>
      <c r="B17" s="6" t="n">
        <v>5</v>
      </c>
    </row>
    <row r="18">
      <c r="A18" s="6" t="n">
        <v>12</v>
      </c>
      <c r="B18" s="6" t="n">
        <v>10</v>
      </c>
    </row>
    <row r="19">
      <c r="A19" s="6" t="n">
        <v>13</v>
      </c>
      <c r="B19" s="6" t="n">
        <v>7</v>
      </c>
    </row>
    <row r="20">
      <c r="A20" s="6" t="n">
        <v>14</v>
      </c>
      <c r="B20" s="6" t="n">
        <v>8</v>
      </c>
    </row>
    <row r="21">
      <c r="A21" s="6" t="n">
        <v>15</v>
      </c>
      <c r="B21" s="6" t="n">
        <v>9</v>
      </c>
    </row>
    <row r="22">
      <c r="A22" s="6" t="n">
        <v>16</v>
      </c>
      <c r="B22" s="6" t="n">
        <v>7</v>
      </c>
    </row>
    <row r="23">
      <c r="A23" s="6" t="n">
        <v>17</v>
      </c>
      <c r="B23" s="6" t="n">
        <v>5</v>
      </c>
    </row>
    <row r="24">
      <c r="A24" s="6" t="n">
        <v>18</v>
      </c>
      <c r="B24" s="6" t="n">
        <v>5</v>
      </c>
    </row>
    <row r="25">
      <c r="A25" s="6" t="n">
        <v>19</v>
      </c>
      <c r="B25" s="6" t="n">
        <v>6</v>
      </c>
    </row>
    <row r="26">
      <c r="A26" s="6" t="n">
        <v>20</v>
      </c>
      <c r="B26" s="6" t="n">
        <v>7</v>
      </c>
    </row>
    <row r="27">
      <c r="A27" s="6" t="n">
        <v>21</v>
      </c>
      <c r="B27" s="28" t="n">
        <v>5</v>
      </c>
    </row>
    <row r="28">
      <c r="A28" s="6" t="n">
        <v>22</v>
      </c>
      <c r="B28" s="28" t="n">
        <v>10</v>
      </c>
    </row>
    <row r="29">
      <c r="A29" s="6" t="n">
        <v>23</v>
      </c>
      <c r="B29" s="28" t="n">
        <v>7</v>
      </c>
    </row>
    <row r="30">
      <c r="A30" s="6" t="n">
        <v>24</v>
      </c>
      <c r="B30" s="28" t="n">
        <v>8</v>
      </c>
    </row>
    <row r="31">
      <c r="A31" s="6" t="n">
        <v>25</v>
      </c>
      <c r="B31" s="28" t="n">
        <v>9</v>
      </c>
    </row>
    <row r="32">
      <c r="A32" s="6" t="n">
        <v>26</v>
      </c>
      <c r="B32" s="28" t="n">
        <v>7</v>
      </c>
    </row>
    <row r="33">
      <c r="A33" s="6" t="n">
        <v>27</v>
      </c>
      <c r="B33" s="28" t="n">
        <v>5</v>
      </c>
    </row>
    <row r="34">
      <c r="A34" s="6" t="n">
        <v>28</v>
      </c>
      <c r="B34" s="28" t="n">
        <v>5</v>
      </c>
    </row>
    <row r="35">
      <c r="A35" s="6" t="n">
        <v>29</v>
      </c>
      <c r="B35" s="28" t="n">
        <v>6</v>
      </c>
    </row>
    <row r="36">
      <c r="A36" s="6" t="n">
        <v>30</v>
      </c>
      <c r="B36" s="28" t="n">
        <v>7</v>
      </c>
    </row>
    <row r="37">
      <c r="A37" s="6" t="n">
        <v>31</v>
      </c>
      <c r="B37" s="28" t="n">
        <v>5</v>
      </c>
    </row>
    <row r="38">
      <c r="A38" s="6" t="n">
        <v>32</v>
      </c>
      <c r="B38" s="28" t="n">
        <v>10</v>
      </c>
    </row>
    <row r="39">
      <c r="A39" s="6" t="n">
        <v>33</v>
      </c>
      <c r="B39" s="28" t="n">
        <v>7</v>
      </c>
    </row>
    <row r="40">
      <c r="A40" s="6" t="n">
        <v>34</v>
      </c>
      <c r="B40" s="28" t="n">
        <v>8</v>
      </c>
    </row>
    <row r="41">
      <c r="A41" s="6" t="n">
        <v>35</v>
      </c>
      <c r="B41" s="28" t="n">
        <v>9</v>
      </c>
    </row>
    <row r="42">
      <c r="A42" s="6" t="n">
        <v>36</v>
      </c>
      <c r="B42" s="28" t="n">
        <v>7</v>
      </c>
    </row>
    <row r="43">
      <c r="A43" s="6" t="n">
        <v>37</v>
      </c>
      <c r="B43" s="28" t="n">
        <v>5</v>
      </c>
    </row>
    <row r="44">
      <c r="A44" s="6" t="n">
        <v>38</v>
      </c>
      <c r="B44" s="28" t="n">
        <v>5</v>
      </c>
    </row>
    <row r="45">
      <c r="A45" s="6" t="n">
        <v>39</v>
      </c>
      <c r="B45" s="28" t="n">
        <v>6</v>
      </c>
    </row>
    <row r="46">
      <c r="A46" s="6" t="n">
        <v>40</v>
      </c>
      <c r="B46" s="28" t="n">
        <v>7</v>
      </c>
    </row>
    <row r="47">
      <c r="A47" s="6" t="n">
        <v>41</v>
      </c>
      <c r="B47" s="28" t="n">
        <v>5</v>
      </c>
    </row>
    <row r="48">
      <c r="A48" s="6" t="n">
        <v>42</v>
      </c>
      <c r="B48" s="28" t="n">
        <v>10</v>
      </c>
    </row>
    <row r="49">
      <c r="A49" s="6" t="n">
        <v>43</v>
      </c>
      <c r="B49" s="28" t="n">
        <v>7</v>
      </c>
    </row>
    <row r="50">
      <c r="A50" s="6" t="n">
        <v>44</v>
      </c>
      <c r="B50" s="28" t="n">
        <v>8</v>
      </c>
    </row>
    <row r="51">
      <c r="A51" s="6" t="n">
        <v>45</v>
      </c>
      <c r="B51" s="28" t="n">
        <v>9</v>
      </c>
    </row>
    <row r="52">
      <c r="A52" s="6" t="n">
        <v>46</v>
      </c>
      <c r="B52" s="28" t="n">
        <v>7</v>
      </c>
    </row>
    <row r="53">
      <c r="A53" s="6" t="n">
        <v>47</v>
      </c>
      <c r="B53" s="28" t="n">
        <v>5</v>
      </c>
    </row>
    <row r="54">
      <c r="A54" s="6" t="n">
        <v>48</v>
      </c>
      <c r="B54" s="28" t="n">
        <v>5</v>
      </c>
    </row>
    <row r="55">
      <c r="A55" s="6" t="n">
        <v>49</v>
      </c>
      <c r="B55" s="28" t="n">
        <v>6</v>
      </c>
    </row>
    <row r="56">
      <c r="A56" s="6" t="n">
        <v>50</v>
      </c>
      <c r="B56" s="28" t="n">
        <v>7</v>
      </c>
    </row>
    <row r="57">
      <c r="A57" s="6" t="n">
        <v>51</v>
      </c>
      <c r="B57" s="28" t="n">
        <v>5</v>
      </c>
    </row>
    <row r="58">
      <c r="A58" s="6" t="n">
        <v>52</v>
      </c>
      <c r="B58" s="28" t="n">
        <v>10</v>
      </c>
    </row>
    <row r="59">
      <c r="A59" s="6" t="n">
        <v>53</v>
      </c>
      <c r="B59" s="28" t="n">
        <v>7</v>
      </c>
    </row>
    <row r="60">
      <c r="A60" s="6" t="n">
        <v>54</v>
      </c>
      <c r="B60" s="28" t="n">
        <v>8</v>
      </c>
    </row>
    <row r="61">
      <c r="A61" s="6" t="n">
        <v>55</v>
      </c>
      <c r="B61" s="28" t="n">
        <v>9</v>
      </c>
    </row>
    <row r="62">
      <c r="A62" s="6" t="n">
        <v>56</v>
      </c>
      <c r="B62" s="28" t="n">
        <v>7</v>
      </c>
    </row>
    <row r="63">
      <c r="A63" s="6" t="n">
        <v>57</v>
      </c>
      <c r="B63" s="28" t="n">
        <v>5</v>
      </c>
    </row>
    <row r="64">
      <c r="A64" s="6" t="n">
        <v>58</v>
      </c>
      <c r="B64" s="28" t="n">
        <v>5</v>
      </c>
    </row>
    <row r="65">
      <c r="A65" s="6" t="n">
        <v>59</v>
      </c>
      <c r="B65" s="28" t="n">
        <v>6</v>
      </c>
    </row>
    <row r="66">
      <c r="A66" s="6" t="n">
        <v>60</v>
      </c>
      <c r="B66" s="28" t="n">
        <v>7</v>
      </c>
    </row>
    <row r="67">
      <c r="A67" s="18" t="inlineStr">
        <is>
          <t>Count(Attempted)</t>
        </is>
      </c>
      <c r="B67" s="6">
        <f>COUNT(B7:B66)</f>
        <v/>
      </c>
    </row>
    <row r="68">
      <c r="A68" s="18" t="inlineStr">
        <is>
          <t>Average Marks</t>
        </is>
      </c>
      <c r="B68" s="6">
        <f>ROUND(AVERAGE(B7:B66), 0)</f>
        <v/>
      </c>
    </row>
    <row r="69">
      <c r="A69" s="18" t="inlineStr">
        <is>
          <t>Count(&gt;=40%)</t>
        </is>
      </c>
      <c r="B69" s="6">
        <f>COUNTIF(B7:B66, "&gt;=4.0")</f>
        <v/>
      </c>
    </row>
    <row r="70">
      <c r="A70" s="18" t="inlineStr">
        <is>
          <t>% Count(&gt;=40% w.r.t appeared)</t>
        </is>
      </c>
      <c r="B70" s="6">
        <f>ROUND(B69 / B67 * 100, 1)</f>
        <v/>
      </c>
    </row>
    <row r="71">
      <c r="A71" s="18" t="inlineStr">
        <is>
          <t>Count(&gt;=Average Marks of class)</t>
        </is>
      </c>
      <c r="B71" s="6">
        <f>COUNTIF(B7:B66, "&gt;="&amp;B68)</f>
        <v/>
      </c>
    </row>
    <row r="72">
      <c r="A72" s="18" t="inlineStr">
        <is>
          <t>% Count(&gt;=Average Marks of class w.r.t appeared)</t>
        </is>
      </c>
      <c r="B72" s="6">
        <f>ROUND(B71 / B67 * 100, 1)</f>
        <v/>
      </c>
    </row>
    <row r="73">
      <c r="A73" s="20" t="inlineStr">
        <is>
          <t>AL(Based on &gt;=40% Count) (All COs)</t>
        </is>
      </c>
      <c r="B73" s="6">
        <f>IF(B70&lt;60, 1, IF(AND(B70&gt;59, B70&lt;70), 2, IF(AND(B70&gt;69, B70&lt;80), 3, 4)))</f>
        <v/>
      </c>
    </row>
    <row r="76">
      <c r="B76" s="5" t="inlineStr">
        <is>
          <t>COs</t>
        </is>
      </c>
      <c r="C76" s="5" t="inlineStr">
        <is>
          <t>AL</t>
        </is>
      </c>
    </row>
    <row r="77">
      <c r="B77" s="6" t="inlineStr">
        <is>
          <t>CO1</t>
        </is>
      </c>
      <c r="C77" s="6">
        <f>ROUND(AVERAGE(B73),1)</f>
        <v/>
      </c>
    </row>
    <row r="78">
      <c r="B78" s="6" t="inlineStr">
        <is>
          <t>CO2</t>
        </is>
      </c>
      <c r="C78" s="6">
        <f>ROUND(AVERAGE(B73),1)</f>
        <v/>
      </c>
    </row>
    <row r="79">
      <c r="B79" s="6" t="inlineStr">
        <is>
          <t>CO3</t>
        </is>
      </c>
      <c r="C79" s="6">
        <f>ROUND(AVERAGE(B73),1)</f>
        <v/>
      </c>
    </row>
    <row r="80">
      <c r="B80" s="6" t="inlineStr">
        <is>
          <t>CO4</t>
        </is>
      </c>
      <c r="C80" s="6" t="inlineStr">
        <is>
          <t>-</t>
        </is>
      </c>
    </row>
    <row r="81">
      <c r="B81" s="6" t="inlineStr">
        <is>
          <t>CO5</t>
        </is>
      </c>
      <c r="C81" s="6" t="inlineStr">
        <is>
          <t>-</t>
        </is>
      </c>
    </row>
    <row r="82">
      <c r="B82" s="6" t="inlineStr">
        <is>
          <t>CO6</t>
        </is>
      </c>
      <c r="C82" s="6" t="inlineStr">
        <is>
          <t>-</t>
        </is>
      </c>
    </row>
  </sheetData>
  <mergeCells count="4">
    <mergeCell ref="A4:B4"/>
    <mergeCell ref="A3:B3"/>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9"/>
  <sheetViews>
    <sheetView topLeftCell="A49" workbookViewId="0">
      <selection activeCell="C54" sqref="C54:F63"/>
    </sheetView>
  </sheetViews>
  <sheetFormatPr baseColWidth="8" defaultColWidth="9" defaultRowHeight="14.4"/>
  <cols>
    <col width="42" customWidth="1" min="2" max="2"/>
  </cols>
  <sheetData>
    <row r="1">
      <c r="A1" s="5" t="inlineStr">
        <is>
          <t>Type : Quiz      Total Questions :4      Maximum Marks for each question = 2</t>
        </is>
      </c>
      <c r="B1" s="30" t="n"/>
      <c r="C1" s="30" t="n"/>
      <c r="D1" s="30" t="n"/>
      <c r="E1" s="30" t="n"/>
      <c r="F1" s="31" t="n"/>
      <c r="G1" s="2" t="n"/>
      <c r="H1" s="2" t="n"/>
      <c r="I1" s="2" t="n"/>
      <c r="J1" s="2" t="n"/>
      <c r="K1" s="2" t="n"/>
      <c r="L1" s="2" t="n"/>
    </row>
    <row r="2">
      <c r="A2" s="5" t="inlineStr">
        <is>
          <t>Roll No.</t>
        </is>
      </c>
      <c r="B2" s="5" t="inlineStr">
        <is>
          <t>Name</t>
        </is>
      </c>
      <c r="C2" s="5" t="inlineStr">
        <is>
          <t>Q1</t>
        </is>
      </c>
      <c r="D2" s="5" t="inlineStr">
        <is>
          <t>Q2</t>
        </is>
      </c>
      <c r="E2" s="5" t="inlineStr">
        <is>
          <t>Q3</t>
        </is>
      </c>
      <c r="F2" s="5" t="inlineStr">
        <is>
          <t>Q4</t>
        </is>
      </c>
      <c r="G2" s="2" t="n"/>
      <c r="H2" s="2" t="n"/>
      <c r="I2" s="2" t="n"/>
      <c r="J2" s="2" t="n"/>
      <c r="K2" s="2" t="n"/>
      <c r="L2" s="2" t="n"/>
    </row>
    <row r="3">
      <c r="A3" s="5" t="inlineStr">
        <is>
          <t>CO --&gt;</t>
        </is>
      </c>
      <c r="B3" s="31" t="n"/>
      <c r="C3" s="5" t="inlineStr">
        <is>
          <t>CO5</t>
        </is>
      </c>
      <c r="D3" s="5" t="inlineStr">
        <is>
          <t>CO6</t>
        </is>
      </c>
      <c r="E3" s="5" t="inlineStr">
        <is>
          <t>CO5</t>
        </is>
      </c>
      <c r="F3" s="5" t="inlineStr">
        <is>
          <t>CO6</t>
        </is>
      </c>
      <c r="G3" s="2" t="n"/>
      <c r="H3" s="2" t="n"/>
      <c r="I3" s="2" t="n"/>
      <c r="J3" s="2" t="n"/>
      <c r="K3" s="2" t="n"/>
      <c r="L3" s="2" t="n"/>
    </row>
    <row r="4">
      <c r="A4" s="6" t="n">
        <v>1</v>
      </c>
      <c r="B4" s="6" t="n"/>
      <c r="C4" s="6" t="n">
        <v>2</v>
      </c>
      <c r="D4" s="6" t="n">
        <v>1</v>
      </c>
      <c r="E4" s="6" t="n">
        <v>2</v>
      </c>
      <c r="F4" s="6" t="n">
        <v>1</v>
      </c>
    </row>
    <row r="5">
      <c r="A5" s="6" t="n">
        <v>2</v>
      </c>
      <c r="B5" s="6" t="n"/>
      <c r="C5" s="6" t="n">
        <v>1</v>
      </c>
      <c r="D5" s="6" t="n">
        <v>2</v>
      </c>
      <c r="E5" s="6" t="n">
        <v>1</v>
      </c>
      <c r="F5" s="6" t="n">
        <v>2</v>
      </c>
    </row>
    <row r="6">
      <c r="A6" s="6" t="n">
        <v>3</v>
      </c>
      <c r="B6" s="6" t="n"/>
      <c r="C6" s="6" t="n">
        <v>1</v>
      </c>
      <c r="D6" s="6" t="n"/>
      <c r="E6" s="6" t="n">
        <v>1</v>
      </c>
      <c r="F6" s="6" t="n"/>
    </row>
    <row r="7">
      <c r="A7" s="6" t="n">
        <v>4</v>
      </c>
      <c r="B7" s="6" t="n"/>
      <c r="C7" s="6" t="n"/>
      <c r="D7" s="6" t="n">
        <v>2</v>
      </c>
      <c r="E7" s="6" t="n"/>
      <c r="F7" s="6" t="n">
        <v>2</v>
      </c>
    </row>
    <row r="8">
      <c r="A8" s="6" t="n">
        <v>5</v>
      </c>
      <c r="B8" s="6" t="n"/>
      <c r="C8" s="6" t="n"/>
      <c r="D8" s="6" t="n">
        <v>1</v>
      </c>
      <c r="E8" s="6" t="n"/>
      <c r="F8" s="6" t="n">
        <v>1</v>
      </c>
    </row>
    <row r="9">
      <c r="A9" s="6" t="n">
        <v>6</v>
      </c>
      <c r="B9" s="6" t="n"/>
      <c r="C9" s="6" t="n">
        <v>2</v>
      </c>
      <c r="D9" s="6" t="n"/>
      <c r="E9" s="6" t="n">
        <v>2</v>
      </c>
      <c r="F9" s="6" t="n"/>
    </row>
    <row r="10">
      <c r="A10" s="6" t="n">
        <v>7</v>
      </c>
      <c r="B10" s="6" t="n"/>
      <c r="C10" s="6" t="n"/>
      <c r="D10" s="6" t="n">
        <v>1</v>
      </c>
      <c r="E10" s="6" t="n"/>
      <c r="F10" s="6" t="n"/>
    </row>
    <row r="11">
      <c r="A11" s="6" t="n">
        <v>8</v>
      </c>
      <c r="B11" s="6" t="n"/>
      <c r="C11" s="6" t="n"/>
      <c r="D11" s="6" t="n"/>
      <c r="E11" s="6" t="n">
        <v>1</v>
      </c>
      <c r="F11" s="6" t="n"/>
    </row>
    <row r="12">
      <c r="A12" s="6" t="n">
        <v>9</v>
      </c>
      <c r="B12" s="6" t="n"/>
      <c r="C12" s="6" t="n"/>
      <c r="D12" s="6" t="n"/>
      <c r="E12" s="6" t="n"/>
      <c r="F12" s="6" t="n"/>
    </row>
    <row r="13">
      <c r="A13" s="6" t="n">
        <v>10</v>
      </c>
      <c r="B13" s="6" t="n"/>
      <c r="C13" s="6" t="n">
        <v>2</v>
      </c>
      <c r="D13" s="6" t="n">
        <v>2</v>
      </c>
      <c r="E13" s="6" t="n">
        <v>2</v>
      </c>
      <c r="F13" s="6" t="n">
        <v>2</v>
      </c>
    </row>
    <row r="14">
      <c r="A14" s="6" t="n">
        <v>11</v>
      </c>
      <c r="B14" s="6" t="n"/>
      <c r="C14" s="6" t="n">
        <v>2</v>
      </c>
      <c r="D14" s="6" t="n">
        <v>1</v>
      </c>
      <c r="E14" s="6" t="n">
        <v>2</v>
      </c>
      <c r="F14" s="6" t="n">
        <v>1</v>
      </c>
    </row>
    <row r="15">
      <c r="A15" s="6" t="n">
        <v>12</v>
      </c>
      <c r="B15" s="6" t="n"/>
      <c r="C15" s="6" t="n">
        <v>1</v>
      </c>
      <c r="D15" s="6" t="n">
        <v>2</v>
      </c>
      <c r="E15" s="6" t="n">
        <v>1</v>
      </c>
      <c r="F15" s="6" t="n">
        <v>2</v>
      </c>
    </row>
    <row r="16">
      <c r="A16" s="6" t="n">
        <v>13</v>
      </c>
      <c r="B16" s="6" t="n"/>
      <c r="C16" s="6" t="n">
        <v>1</v>
      </c>
      <c r="D16" s="6" t="n"/>
      <c r="E16" s="6" t="n">
        <v>1</v>
      </c>
      <c r="F16" s="6" t="n"/>
    </row>
    <row r="17">
      <c r="A17" s="6" t="n">
        <v>14</v>
      </c>
      <c r="B17" s="6" t="n"/>
      <c r="C17" s="6" t="n"/>
      <c r="D17" s="6" t="n">
        <v>2</v>
      </c>
      <c r="E17" s="6" t="n"/>
      <c r="F17" s="6" t="n">
        <v>2</v>
      </c>
    </row>
    <row r="18">
      <c r="A18" s="6" t="n">
        <v>15</v>
      </c>
      <c r="B18" s="6" t="n"/>
      <c r="C18" s="6" t="n"/>
      <c r="D18" s="6" t="n">
        <v>1</v>
      </c>
      <c r="E18" s="6" t="n"/>
      <c r="F18" s="6" t="n">
        <v>1</v>
      </c>
    </row>
    <row r="19">
      <c r="A19" s="6" t="n">
        <v>16</v>
      </c>
      <c r="B19" s="6" t="n"/>
      <c r="C19" s="6" t="n">
        <v>2</v>
      </c>
      <c r="D19" s="6" t="n"/>
      <c r="E19" s="6" t="n">
        <v>2</v>
      </c>
      <c r="F19" s="6" t="n"/>
    </row>
    <row r="20">
      <c r="A20" s="6" t="n">
        <v>17</v>
      </c>
      <c r="B20" s="6" t="n"/>
      <c r="C20" s="6" t="n"/>
      <c r="D20" s="6" t="n">
        <v>1</v>
      </c>
      <c r="E20" s="6" t="n"/>
      <c r="F20" s="6" t="n"/>
    </row>
    <row r="21">
      <c r="A21" s="6" t="n">
        <v>18</v>
      </c>
      <c r="B21" s="6" t="n"/>
      <c r="C21" s="6" t="n"/>
      <c r="D21" s="6" t="n"/>
      <c r="E21" s="6" t="n">
        <v>1</v>
      </c>
      <c r="F21" s="6" t="n"/>
    </row>
    <row r="22">
      <c r="A22" s="6" t="n">
        <v>19</v>
      </c>
      <c r="B22" s="6" t="n"/>
      <c r="C22" s="6" t="n"/>
      <c r="D22" s="6" t="n"/>
      <c r="E22" s="6" t="n"/>
      <c r="F22" s="6" t="n"/>
    </row>
    <row r="23">
      <c r="A23" s="6" t="n">
        <v>20</v>
      </c>
      <c r="B23" s="6" t="n"/>
      <c r="C23" s="6" t="n">
        <v>2</v>
      </c>
      <c r="D23" s="6" t="n">
        <v>2</v>
      </c>
      <c r="E23" s="6" t="n">
        <v>2</v>
      </c>
      <c r="F23" s="6" t="n">
        <v>2</v>
      </c>
    </row>
    <row r="24">
      <c r="A24" s="6" t="n">
        <v>21</v>
      </c>
      <c r="B24" s="6" t="n"/>
      <c r="C24" s="6" t="n">
        <v>2</v>
      </c>
      <c r="D24" s="6" t="n">
        <v>1</v>
      </c>
      <c r="E24" s="6" t="n">
        <v>2</v>
      </c>
      <c r="F24" s="6" t="n">
        <v>1</v>
      </c>
    </row>
    <row r="25">
      <c r="A25" s="6" t="n">
        <v>22</v>
      </c>
      <c r="B25" s="6" t="n"/>
      <c r="C25" s="6" t="n">
        <v>1</v>
      </c>
      <c r="D25" s="6" t="n">
        <v>2</v>
      </c>
      <c r="E25" s="6" t="n">
        <v>1</v>
      </c>
      <c r="F25" s="6" t="n">
        <v>2</v>
      </c>
    </row>
    <row r="26">
      <c r="A26" s="6" t="n">
        <v>23</v>
      </c>
      <c r="B26" s="6" t="n"/>
      <c r="C26" s="6" t="n">
        <v>1</v>
      </c>
      <c r="D26" s="6" t="n"/>
      <c r="E26" s="6" t="n">
        <v>1</v>
      </c>
      <c r="F26" s="6" t="n"/>
    </row>
    <row r="27">
      <c r="A27" s="6" t="n">
        <v>24</v>
      </c>
      <c r="B27" s="6" t="n"/>
      <c r="C27" s="6" t="n"/>
      <c r="D27" s="6" t="n">
        <v>2</v>
      </c>
      <c r="E27" s="6" t="n"/>
      <c r="F27" s="6" t="n">
        <v>2</v>
      </c>
    </row>
    <row r="28">
      <c r="A28" s="6" t="n">
        <v>25</v>
      </c>
      <c r="B28" s="6" t="n"/>
      <c r="C28" s="6" t="n"/>
      <c r="D28" s="6" t="n">
        <v>1</v>
      </c>
      <c r="E28" s="6" t="n"/>
      <c r="F28" s="6" t="n">
        <v>1</v>
      </c>
    </row>
    <row r="29">
      <c r="A29" s="6" t="n">
        <v>26</v>
      </c>
      <c r="B29" s="6" t="n"/>
      <c r="C29" s="6" t="n">
        <v>2</v>
      </c>
      <c r="D29" s="6" t="n"/>
      <c r="E29" s="6" t="n">
        <v>2</v>
      </c>
      <c r="F29" s="6" t="n"/>
    </row>
    <row r="30">
      <c r="A30" s="6" t="n">
        <v>27</v>
      </c>
      <c r="B30" s="6" t="n"/>
      <c r="C30" s="6" t="n"/>
      <c r="D30" s="6" t="n">
        <v>1</v>
      </c>
      <c r="E30" s="6" t="n"/>
      <c r="F30" s="6" t="n"/>
    </row>
    <row r="31">
      <c r="A31" s="6" t="n">
        <v>28</v>
      </c>
      <c r="B31" s="6" t="n"/>
      <c r="C31" s="6" t="n"/>
      <c r="D31" s="6" t="n"/>
      <c r="E31" s="6" t="n">
        <v>1</v>
      </c>
      <c r="F31" s="6" t="n"/>
    </row>
    <row r="32">
      <c r="A32" s="6" t="n">
        <v>29</v>
      </c>
      <c r="B32" s="6" t="n"/>
      <c r="C32" s="6" t="n"/>
      <c r="D32" s="6" t="n"/>
      <c r="E32" s="6" t="n"/>
      <c r="F32" s="6" t="n"/>
    </row>
    <row r="33">
      <c r="A33" s="6" t="n">
        <v>30</v>
      </c>
      <c r="B33" s="6" t="n"/>
      <c r="C33" s="6" t="n">
        <v>2</v>
      </c>
      <c r="D33" s="6" t="n">
        <v>2</v>
      </c>
      <c r="E33" s="6" t="n">
        <v>2</v>
      </c>
      <c r="F33" s="6" t="n">
        <v>2</v>
      </c>
    </row>
    <row r="34">
      <c r="A34" s="6" t="n">
        <v>31</v>
      </c>
      <c r="B34" s="6" t="n"/>
      <c r="C34" s="6" t="n">
        <v>2</v>
      </c>
      <c r="D34" s="6" t="n">
        <v>1</v>
      </c>
      <c r="E34" s="6" t="n">
        <v>2</v>
      </c>
      <c r="F34" s="6" t="n">
        <v>1</v>
      </c>
    </row>
    <row r="35">
      <c r="A35" s="6" t="n">
        <v>32</v>
      </c>
      <c r="B35" s="6" t="n"/>
      <c r="C35" s="6" t="n">
        <v>1</v>
      </c>
      <c r="D35" s="6" t="n">
        <v>2</v>
      </c>
      <c r="E35" s="6" t="n">
        <v>1</v>
      </c>
      <c r="F35" s="6" t="n">
        <v>2</v>
      </c>
    </row>
    <row r="36">
      <c r="A36" s="6" t="n">
        <v>33</v>
      </c>
      <c r="B36" s="6" t="n"/>
      <c r="C36" s="6" t="n">
        <v>1</v>
      </c>
      <c r="D36" s="6" t="n"/>
      <c r="E36" s="6" t="n">
        <v>1</v>
      </c>
      <c r="F36" s="6" t="n"/>
    </row>
    <row r="37">
      <c r="A37" s="6" t="n">
        <v>34</v>
      </c>
      <c r="B37" s="6" t="n"/>
      <c r="C37" s="6" t="n"/>
      <c r="D37" s="6" t="n">
        <v>2</v>
      </c>
      <c r="E37" s="6" t="n"/>
      <c r="F37" s="6" t="n">
        <v>2</v>
      </c>
    </row>
    <row r="38">
      <c r="A38" s="6" t="n">
        <v>35</v>
      </c>
      <c r="B38" s="6" t="n"/>
      <c r="C38" s="6" t="n"/>
      <c r="D38" s="6" t="n">
        <v>1</v>
      </c>
      <c r="E38" s="6" t="n"/>
      <c r="F38" s="6" t="n">
        <v>1</v>
      </c>
    </row>
    <row r="39">
      <c r="A39" s="6" t="n">
        <v>36</v>
      </c>
      <c r="B39" s="6" t="n"/>
      <c r="C39" s="6" t="n">
        <v>2</v>
      </c>
      <c r="D39" s="6" t="n"/>
      <c r="E39" s="6" t="n">
        <v>2</v>
      </c>
      <c r="F39" s="6" t="n"/>
    </row>
    <row r="40">
      <c r="A40" s="6" t="n">
        <v>37</v>
      </c>
      <c r="B40" s="6" t="n"/>
      <c r="C40" s="6" t="n"/>
      <c r="D40" s="6" t="n">
        <v>1</v>
      </c>
      <c r="E40" s="6" t="n"/>
      <c r="F40" s="6" t="n"/>
    </row>
    <row r="41">
      <c r="A41" s="6" t="n">
        <v>38</v>
      </c>
      <c r="B41" s="6" t="n"/>
      <c r="C41" s="6" t="n"/>
      <c r="D41" s="6" t="n"/>
      <c r="E41" s="6" t="n">
        <v>1</v>
      </c>
      <c r="F41" s="6" t="n"/>
    </row>
    <row r="42">
      <c r="A42" s="6" t="n">
        <v>39</v>
      </c>
      <c r="B42" s="6" t="n"/>
      <c r="C42" s="6" t="n"/>
      <c r="D42" s="6" t="n"/>
      <c r="E42" s="6" t="n"/>
      <c r="F42" s="6" t="n"/>
    </row>
    <row r="43">
      <c r="A43" s="6" t="n">
        <v>40</v>
      </c>
      <c r="B43" s="6" t="n"/>
      <c r="C43" s="6" t="n">
        <v>2</v>
      </c>
      <c r="D43" s="6" t="n">
        <v>2</v>
      </c>
      <c r="E43" s="6" t="n">
        <v>2</v>
      </c>
      <c r="F43" s="6" t="n">
        <v>2</v>
      </c>
    </row>
    <row r="44">
      <c r="A44" s="6" t="n">
        <v>41</v>
      </c>
      <c r="B44" s="6" t="n"/>
      <c r="C44" s="6" t="n">
        <v>2</v>
      </c>
      <c r="D44" s="6" t="n">
        <v>1</v>
      </c>
      <c r="E44" s="6" t="n">
        <v>2</v>
      </c>
      <c r="F44" s="6" t="n">
        <v>1</v>
      </c>
    </row>
    <row r="45">
      <c r="A45" s="6" t="n">
        <v>42</v>
      </c>
      <c r="B45" s="6" t="n"/>
      <c r="C45" s="6" t="n">
        <v>1</v>
      </c>
      <c r="D45" s="6" t="n">
        <v>2</v>
      </c>
      <c r="E45" s="6" t="n">
        <v>1</v>
      </c>
      <c r="F45" s="6" t="n">
        <v>2</v>
      </c>
    </row>
    <row r="46">
      <c r="A46" s="6" t="n">
        <v>43</v>
      </c>
      <c r="B46" s="6" t="n"/>
      <c r="C46" s="6" t="n">
        <v>1</v>
      </c>
      <c r="D46" s="6" t="n"/>
      <c r="E46" s="6" t="n">
        <v>1</v>
      </c>
      <c r="F46" s="6" t="n"/>
    </row>
    <row r="47">
      <c r="A47" s="6" t="n">
        <v>44</v>
      </c>
      <c r="B47" s="6" t="n"/>
      <c r="C47" s="6" t="n"/>
      <c r="D47" s="6" t="n">
        <v>2</v>
      </c>
      <c r="E47" s="6" t="n"/>
      <c r="F47" s="6" t="n">
        <v>2</v>
      </c>
    </row>
    <row r="48">
      <c r="A48" s="6" t="n">
        <v>45</v>
      </c>
      <c r="B48" s="6" t="n"/>
      <c r="C48" s="6" t="n"/>
      <c r="D48" s="6" t="n">
        <v>1</v>
      </c>
      <c r="E48" s="6" t="n"/>
      <c r="F48" s="6" t="n">
        <v>1</v>
      </c>
    </row>
    <row r="49">
      <c r="A49" s="6" t="n">
        <v>46</v>
      </c>
      <c r="B49" s="6" t="n"/>
      <c r="C49" s="6" t="n">
        <v>2</v>
      </c>
      <c r="D49" s="6" t="n"/>
      <c r="E49" s="6" t="n">
        <v>2</v>
      </c>
      <c r="F49" s="6" t="n"/>
    </row>
    <row r="50">
      <c r="A50" s="6" t="n">
        <v>47</v>
      </c>
      <c r="B50" s="6" t="n"/>
      <c r="C50" s="6" t="n"/>
      <c r="D50" s="6" t="n">
        <v>1</v>
      </c>
      <c r="E50" s="6" t="n"/>
      <c r="F50" s="6" t="n"/>
    </row>
    <row r="51">
      <c r="A51" s="6" t="n">
        <v>48</v>
      </c>
      <c r="B51" s="6" t="n"/>
      <c r="C51" s="6" t="n"/>
      <c r="D51" s="6" t="n"/>
      <c r="E51" s="6" t="n">
        <v>1</v>
      </c>
      <c r="F51" s="6" t="n"/>
    </row>
    <row r="52">
      <c r="A52" s="6" t="n">
        <v>49</v>
      </c>
      <c r="B52" s="6" t="n"/>
      <c r="C52" s="6" t="n"/>
      <c r="D52" s="6" t="n"/>
      <c r="E52" s="6" t="n"/>
      <c r="F52" s="6" t="n"/>
    </row>
    <row r="53">
      <c r="A53" s="6" t="n">
        <v>50</v>
      </c>
      <c r="B53" s="6" t="n"/>
      <c r="C53" s="6" t="n">
        <v>2</v>
      </c>
      <c r="D53" s="6" t="n">
        <v>2</v>
      </c>
      <c r="E53" s="6" t="n">
        <v>2</v>
      </c>
      <c r="F53" s="6" t="n">
        <v>2</v>
      </c>
    </row>
    <row r="54">
      <c r="A54" s="6" t="n">
        <v>51</v>
      </c>
      <c r="B54" s="6" t="n"/>
      <c r="C54" s="6" t="n">
        <v>2</v>
      </c>
      <c r="D54" s="6" t="n">
        <v>1</v>
      </c>
      <c r="E54" s="6" t="n">
        <v>2</v>
      </c>
      <c r="F54" s="6" t="n">
        <v>1</v>
      </c>
    </row>
    <row r="55">
      <c r="A55" s="6" t="n">
        <v>52</v>
      </c>
      <c r="B55" s="6" t="n"/>
      <c r="C55" s="6" t="n">
        <v>1</v>
      </c>
      <c r="D55" s="6" t="n">
        <v>2</v>
      </c>
      <c r="E55" s="6" t="n">
        <v>1</v>
      </c>
      <c r="F55" s="6" t="n">
        <v>2</v>
      </c>
    </row>
    <row r="56">
      <c r="A56" s="6" t="n">
        <v>53</v>
      </c>
      <c r="B56" s="6" t="n"/>
      <c r="C56" s="6" t="n">
        <v>1</v>
      </c>
      <c r="D56" s="6" t="n"/>
      <c r="E56" s="6" t="n">
        <v>1</v>
      </c>
      <c r="F56" s="6" t="n"/>
    </row>
    <row r="57">
      <c r="A57" s="6" t="n">
        <v>54</v>
      </c>
      <c r="B57" s="6" t="n"/>
      <c r="C57" s="6" t="n"/>
      <c r="D57" s="6" t="n">
        <v>2</v>
      </c>
      <c r="E57" s="6" t="n"/>
      <c r="F57" s="6" t="n">
        <v>2</v>
      </c>
    </row>
    <row r="58">
      <c r="A58" s="6" t="n">
        <v>55</v>
      </c>
      <c r="B58" s="6" t="n"/>
      <c r="C58" s="6" t="n"/>
      <c r="D58" s="6" t="n">
        <v>1</v>
      </c>
      <c r="E58" s="6" t="n"/>
      <c r="F58" s="6" t="n">
        <v>1</v>
      </c>
    </row>
    <row r="59">
      <c r="A59" s="6" t="n">
        <v>56</v>
      </c>
      <c r="B59" s="6" t="n"/>
      <c r="C59" s="6" t="n">
        <v>2</v>
      </c>
      <c r="D59" s="6" t="n"/>
      <c r="E59" s="6" t="n">
        <v>2</v>
      </c>
      <c r="F59" s="6" t="n"/>
    </row>
    <row r="60">
      <c r="A60" s="6" t="n">
        <v>57</v>
      </c>
      <c r="B60" s="6" t="n"/>
      <c r="C60" s="6" t="n"/>
      <c r="D60" s="6" t="n">
        <v>1</v>
      </c>
      <c r="E60" s="6" t="n"/>
      <c r="F60" s="6" t="n"/>
    </row>
    <row r="61">
      <c r="A61" s="6" t="n">
        <v>58</v>
      </c>
      <c r="B61" s="6" t="n"/>
      <c r="C61" s="6" t="n"/>
      <c r="D61" s="6" t="n"/>
      <c r="E61" s="6" t="n">
        <v>1</v>
      </c>
      <c r="F61" s="6" t="n"/>
    </row>
    <row r="62">
      <c r="A62" s="6" t="n">
        <v>59</v>
      </c>
      <c r="B62" s="6" t="n"/>
      <c r="C62" s="6" t="n"/>
      <c r="D62" s="6" t="n"/>
      <c r="E62" s="6" t="n"/>
      <c r="F62" s="6" t="n"/>
    </row>
    <row r="63">
      <c r="A63" s="6" t="n">
        <v>60</v>
      </c>
      <c r="B63" s="6" t="n"/>
      <c r="C63" s="6" t="n">
        <v>2</v>
      </c>
      <c r="D63" s="6" t="n">
        <v>2</v>
      </c>
      <c r="E63" s="6" t="n">
        <v>2</v>
      </c>
      <c r="F63" s="6" t="n">
        <v>2</v>
      </c>
    </row>
    <row r="64">
      <c r="A64" s="18" t="inlineStr">
        <is>
          <t>Count(Attempted)</t>
        </is>
      </c>
      <c r="B64" s="31" t="n"/>
      <c r="C64" s="6">
        <f>COUNT(C4:C63)</f>
        <v/>
      </c>
      <c r="D64" s="6">
        <f>COUNT(D4:D63)</f>
        <v/>
      </c>
      <c r="E64" s="6">
        <f>COUNT(E4:E63)</f>
        <v/>
      </c>
      <c r="F64" s="6">
        <f>COUNT(F4:F63)</f>
        <v/>
      </c>
    </row>
    <row r="65">
      <c r="A65" s="18" t="inlineStr">
        <is>
          <t>Average Marks</t>
        </is>
      </c>
      <c r="B65" s="31" t="n"/>
      <c r="C65" s="6">
        <f>ROUND(AVERAGE(C4:C63), 0)</f>
        <v/>
      </c>
      <c r="D65" s="6">
        <f>ROUND(AVERAGE(D4:D63), 0)</f>
        <v/>
      </c>
      <c r="E65" s="6">
        <f>ROUND(AVERAGE(E4:E63), 0)</f>
        <v/>
      </c>
      <c r="F65" s="6">
        <f>ROUND(AVERAGE(F4:F63), 0)</f>
        <v/>
      </c>
    </row>
    <row r="66">
      <c r="A66" s="18" t="inlineStr">
        <is>
          <t>Count(&gt;=45%)</t>
        </is>
      </c>
      <c r="B66" s="31" t="n"/>
      <c r="C66" s="6">
        <f>COUNTIF(C4:C63, "&gt;=0.9")</f>
        <v/>
      </c>
      <c r="D66" s="6">
        <f>COUNTIF(D4:D63, "&gt;=0.9")</f>
        <v/>
      </c>
      <c r="E66" s="6">
        <f>COUNTIF(E4:E63, "&gt;=0.9")</f>
        <v/>
      </c>
      <c r="F66" s="6">
        <f>COUNTIF(F4:F63, "&gt;=0.9")</f>
        <v/>
      </c>
    </row>
    <row r="67">
      <c r="A67" s="18" t="inlineStr">
        <is>
          <t>% Count(&gt;=45% w.r.t appeared)</t>
        </is>
      </c>
      <c r="B67" s="31" t="n"/>
      <c r="C67" s="6">
        <f>ROUND(C66 / C64 * 100, 1)</f>
        <v/>
      </c>
      <c r="D67" s="6">
        <f>ROUND(D66 / D64 * 100, 1)</f>
        <v/>
      </c>
      <c r="E67" s="6">
        <f>ROUND(E66 / E64 * 100, 1)</f>
        <v/>
      </c>
      <c r="F67" s="6">
        <f>ROUND(F66 / F64 * 100, 1)</f>
        <v/>
      </c>
    </row>
    <row r="68">
      <c r="A68" s="18" t="inlineStr">
        <is>
          <t>Count(&gt;=Average Marks of class)</t>
        </is>
      </c>
      <c r="B68" s="31" t="n"/>
      <c r="C68" s="6">
        <f>COUNTIF(C3:C63, "&gt;="&amp;C65)</f>
        <v/>
      </c>
      <c r="D68" s="6">
        <f>COUNTIF(D3:D63, "&gt;="&amp;D65)</f>
        <v/>
      </c>
      <c r="E68" s="6">
        <f>COUNTIF(E3:E63, "&gt;="&amp;E65)</f>
        <v/>
      </c>
      <c r="F68" s="6">
        <f>COUNTIF(F3:F63, "&gt;="&amp;F65)</f>
        <v/>
      </c>
    </row>
    <row r="69">
      <c r="A69" s="18" t="inlineStr">
        <is>
          <t>% Count(&gt;=Average Marks of class w.r.t appeared)</t>
        </is>
      </c>
      <c r="B69" s="31" t="n"/>
      <c r="C69" s="6">
        <f>ROUND(C68 / C64 * 100, 1)</f>
        <v/>
      </c>
      <c r="D69" s="6">
        <f>ROUND(D68 / D64 * 100, 1)</f>
        <v/>
      </c>
      <c r="E69" s="6">
        <f>ROUND(E68 / E64 * 100, 1)</f>
        <v/>
      </c>
      <c r="F69" s="6">
        <f>ROUND(F68 / F64 * 100, 1)</f>
        <v/>
      </c>
    </row>
    <row r="70">
      <c r="A70" s="20" t="inlineStr">
        <is>
          <t>AL(Based on &gt;=45% Count) (All COs)</t>
        </is>
      </c>
      <c r="B70" s="31" t="n"/>
      <c r="C70" s="6">
        <f>IF(C67&lt;60, 1, IF(AND(C67&gt;59, C67&lt;70), 2, IF(AND(C67&gt;69, C67&lt;80), 3, 4)))</f>
        <v/>
      </c>
      <c r="D70" s="6">
        <f>IF(D67&lt;60, 1, IF(AND(D67&gt;59, D67&lt;70), 2, IF(AND(D67&gt;69, D67&lt;80), 3, 4)))</f>
        <v/>
      </c>
      <c r="E70" s="6">
        <f>IF(E67&lt;60, 1, IF(AND(E67&gt;59, E67&lt;70), 2, IF(AND(E67&gt;69, E67&lt;80), 3, 4)))</f>
        <v/>
      </c>
      <c r="F70" s="5">
        <f>IF(F67&lt;60, 1, IF(AND(F67&gt;59, F67&lt;70), 2, IF(AND(F67&gt;69, F67&lt;80), 3, 4)))</f>
        <v/>
      </c>
    </row>
    <row r="71"/>
    <row r="73">
      <c r="C73" s="5" t="inlineStr">
        <is>
          <t>COs</t>
        </is>
      </c>
      <c r="D73" s="5" t="inlineStr">
        <is>
          <t>AL</t>
        </is>
      </c>
    </row>
    <row r="74">
      <c r="C74" s="6" t="inlineStr">
        <is>
          <t>CO1</t>
        </is>
      </c>
      <c r="D74" s="6" t="inlineStr">
        <is>
          <t>-</t>
        </is>
      </c>
    </row>
    <row r="75">
      <c r="C75" s="6" t="inlineStr">
        <is>
          <t>CO2</t>
        </is>
      </c>
      <c r="D75" s="6" t="inlineStr">
        <is>
          <t>-</t>
        </is>
      </c>
    </row>
    <row r="76">
      <c r="C76" s="6" t="inlineStr">
        <is>
          <t>CO3</t>
        </is>
      </c>
      <c r="D76" s="6" t="inlineStr">
        <is>
          <t>-</t>
        </is>
      </c>
    </row>
    <row r="77">
      <c r="C77" s="6" t="inlineStr">
        <is>
          <t>CO4</t>
        </is>
      </c>
      <c r="D77" s="6" t="inlineStr">
        <is>
          <t>-</t>
        </is>
      </c>
    </row>
    <row r="78">
      <c r="C78" s="6" t="inlineStr">
        <is>
          <t>CO5</t>
        </is>
      </c>
      <c r="D78" s="6">
        <f>ROUND(AVERAGE(C70,E70),1)</f>
        <v/>
      </c>
    </row>
    <row r="79">
      <c r="C79" s="6" t="inlineStr">
        <is>
          <t>CO6</t>
        </is>
      </c>
      <c r="D79" s="6">
        <f>ROUND(AVERAGE(D70,F70),1)</f>
        <v/>
      </c>
    </row>
  </sheetData>
  <mergeCells count="10">
    <mergeCell ref="A64:B64"/>
    <mergeCell ref="A65:B65"/>
    <mergeCell ref="A68:B68"/>
    <mergeCell ref="A1:F1"/>
    <mergeCell ref="A71:B71"/>
    <mergeCell ref="A66:B66"/>
    <mergeCell ref="A70:B70"/>
    <mergeCell ref="A67:B67"/>
    <mergeCell ref="A3:B3"/>
    <mergeCell ref="A69:B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2"/>
  <sheetViews>
    <sheetView topLeftCell="A40" workbookViewId="0">
      <selection activeCell="F52" sqref="F52:F61"/>
    </sheetView>
  </sheetViews>
  <sheetFormatPr baseColWidth="8" defaultColWidth="9" defaultRowHeight="14.4"/>
  <cols>
    <col width="40" customWidth="1" min="2" max="2"/>
    <col width="30" customWidth="1" min="6" max="6"/>
    <col width="40" customWidth="1" min="7" max="7"/>
    <col width="20" customWidth="1" min="8" max="8"/>
    <col width="20" customWidth="1" min="9" max="9"/>
    <col width="20" customWidth="1" min="10" max="10"/>
    <col width="20" customWidth="1" min="11" max="11"/>
  </cols>
  <sheetData>
    <row r="1">
      <c r="A1" s="5" t="inlineStr">
        <is>
          <t>Sr. No.</t>
        </is>
      </c>
      <c r="B1" s="5" t="inlineStr">
        <is>
          <t>Name of Students</t>
        </is>
      </c>
      <c r="C1" s="5" t="inlineStr">
        <is>
          <t>Roll Number</t>
        </is>
      </c>
      <c r="D1" s="5" t="inlineStr">
        <is>
          <t>Group Number</t>
        </is>
      </c>
      <c r="E1" s="5" t="inlineStr">
        <is>
          <t>Topic(Presentation)</t>
        </is>
      </c>
      <c r="F1" s="5" t="inlineStr">
        <is>
          <t>Marks (Max per student = 10)</t>
        </is>
      </c>
      <c r="G1" s="5" t="inlineStr">
        <is>
          <t>COs (Enter COs as digits with comma e.g. 1,2)</t>
        </is>
      </c>
      <c r="H1" s="32" t="inlineStr">
        <is>
          <t>Count</t>
        </is>
      </c>
      <c r="I1" s="32" t="inlineStr">
        <is>
          <t>Count &gt;= 50.0%</t>
        </is>
      </c>
      <c r="J1" s="32" t="inlineStr">
        <is>
          <t>% Count ( &gt;= 50.0%)</t>
        </is>
      </c>
      <c r="K1" s="32" t="inlineStr">
        <is>
          <t>AL (Based on &gt;= 50.0% Count)</t>
        </is>
      </c>
    </row>
    <row r="2">
      <c r="A2" s="21" t="n">
        <v>1</v>
      </c>
      <c r="B2" s="21" t="n"/>
      <c r="C2" s="21" t="n"/>
      <c r="D2" s="21" t="n">
        <v>1</v>
      </c>
      <c r="E2" s="21" t="n"/>
      <c r="F2" s="21" t="n">
        <v>10</v>
      </c>
      <c r="G2" s="6" t="n">
        <v>1</v>
      </c>
      <c r="H2" s="33">
        <f>COUNT(F2:F11)</f>
        <v/>
      </c>
      <c r="I2" s="33">
        <f>COUNTIF(F2:F11,"&gt;=5.0")</f>
        <v/>
      </c>
      <c r="J2" s="33">
        <f>ROUND((I2/H2)*100,1)</f>
        <v/>
      </c>
      <c r="K2" s="33">
        <f>IF(J2&lt;60,1,IF(AND(J2&gt;59,J2&lt;70),2,IF(AND(J2&gt;69,J2&lt;80),3,4)))</f>
        <v/>
      </c>
    </row>
    <row r="3">
      <c r="A3" s="23" t="n">
        <v>2</v>
      </c>
      <c r="B3" s="23" t="n"/>
      <c r="C3" s="23" t="n"/>
      <c r="D3" s="23" t="n">
        <v>1</v>
      </c>
      <c r="E3" s="23" t="n"/>
      <c r="F3" s="23" t="n">
        <v>8</v>
      </c>
      <c r="G3" s="23" t="n"/>
      <c r="H3" s="34" t="n"/>
      <c r="I3" s="34" t="n"/>
      <c r="J3" s="34" t="n"/>
      <c r="K3" s="34" t="n"/>
    </row>
    <row r="4">
      <c r="A4" s="23" t="n">
        <v>3</v>
      </c>
      <c r="B4" s="23" t="n"/>
      <c r="C4" s="23" t="n"/>
      <c r="D4" s="23" t="n">
        <v>1</v>
      </c>
      <c r="E4" s="23" t="n"/>
      <c r="F4" s="23" t="n">
        <v>5</v>
      </c>
      <c r="G4" s="23" t="n"/>
      <c r="H4" s="34" t="n"/>
      <c r="I4" s="34" t="n"/>
      <c r="J4" s="34" t="n"/>
      <c r="K4" s="34" t="n"/>
    </row>
    <row r="5">
      <c r="A5" s="23" t="n">
        <v>4</v>
      </c>
      <c r="B5" s="23" t="n"/>
      <c r="C5" s="23" t="n"/>
      <c r="D5" s="23" t="n">
        <v>1</v>
      </c>
      <c r="E5" s="23" t="n"/>
      <c r="F5" s="23" t="n">
        <v>6</v>
      </c>
      <c r="G5" s="23" t="n"/>
      <c r="H5" s="34" t="n"/>
      <c r="I5" s="34" t="n"/>
      <c r="J5" s="34" t="n"/>
      <c r="K5" s="34" t="n"/>
    </row>
    <row r="6">
      <c r="A6" s="23" t="n">
        <v>5</v>
      </c>
      <c r="B6" s="23" t="n"/>
      <c r="C6" s="23" t="n"/>
      <c r="D6" s="23" t="n">
        <v>1</v>
      </c>
      <c r="E6" s="23" t="n"/>
      <c r="F6" s="23" t="n">
        <v>4</v>
      </c>
      <c r="G6" s="23" t="n"/>
      <c r="H6" s="34" t="n"/>
      <c r="I6" s="34" t="n"/>
      <c r="J6" s="34" t="n"/>
      <c r="K6" s="34" t="n"/>
    </row>
    <row r="7">
      <c r="A7" s="23" t="n">
        <v>6</v>
      </c>
      <c r="B7" s="23" t="n"/>
      <c r="C7" s="23" t="n"/>
      <c r="D7" s="23" t="n">
        <v>1</v>
      </c>
      <c r="E7" s="23" t="n"/>
      <c r="F7" s="23" t="n">
        <v>7</v>
      </c>
      <c r="G7" s="23" t="n"/>
      <c r="H7" s="34" t="n"/>
      <c r="I7" s="34" t="n"/>
      <c r="J7" s="34" t="n"/>
      <c r="K7" s="34" t="n"/>
    </row>
    <row r="8">
      <c r="A8" s="23" t="n">
        <v>7</v>
      </c>
      <c r="B8" s="23" t="n"/>
      <c r="C8" s="23" t="n"/>
      <c r="D8" s="23" t="n">
        <v>1</v>
      </c>
      <c r="E8" s="23" t="n"/>
      <c r="F8" s="23" t="n">
        <v>8</v>
      </c>
      <c r="G8" s="23" t="n"/>
      <c r="H8" s="34" t="n"/>
      <c r="I8" s="34" t="n"/>
      <c r="J8" s="34" t="n"/>
      <c r="K8" s="34" t="n"/>
    </row>
    <row r="9">
      <c r="A9" s="23" t="n">
        <v>8</v>
      </c>
      <c r="B9" s="23" t="n"/>
      <c r="C9" s="23" t="n"/>
      <c r="D9" s="23" t="n">
        <v>1</v>
      </c>
      <c r="E9" s="23" t="n"/>
      <c r="F9" s="23" t="n">
        <v>5</v>
      </c>
      <c r="G9" s="23" t="n"/>
      <c r="H9" s="34" t="n"/>
      <c r="I9" s="34" t="n"/>
      <c r="J9" s="34" t="n"/>
      <c r="K9" s="34" t="n"/>
    </row>
    <row r="10">
      <c r="A10" s="23" t="n">
        <v>9</v>
      </c>
      <c r="B10" s="23" t="n"/>
      <c r="C10" s="23" t="n"/>
      <c r="D10" s="23" t="n">
        <v>1</v>
      </c>
      <c r="E10" s="23" t="n"/>
      <c r="F10" s="23" t="n">
        <v>10</v>
      </c>
      <c r="G10" s="23" t="n"/>
      <c r="H10" s="34" t="n"/>
      <c r="I10" s="34" t="n"/>
      <c r="J10" s="34" t="n"/>
      <c r="K10" s="34" t="n"/>
    </row>
    <row r="11">
      <c r="A11" s="24" t="n">
        <v>10</v>
      </c>
      <c r="B11" s="24" t="n"/>
      <c r="C11" s="24" t="n"/>
      <c r="D11" s="24" t="n">
        <v>1</v>
      </c>
      <c r="E11" s="24" t="n"/>
      <c r="F11" s="24" t="n"/>
      <c r="G11" s="24" t="n"/>
      <c r="H11" s="35" t="n"/>
      <c r="I11" s="35" t="n"/>
      <c r="J11" s="35" t="n"/>
      <c r="K11" s="35" t="n"/>
    </row>
    <row r="12">
      <c r="A12" s="21" t="n">
        <v>11</v>
      </c>
      <c r="B12" s="21" t="n"/>
      <c r="C12" s="21" t="n"/>
      <c r="D12" s="21" t="n">
        <v>2</v>
      </c>
      <c r="E12" s="21" t="n"/>
      <c r="F12" s="21" t="n">
        <v>10</v>
      </c>
      <c r="G12" s="6" t="n">
        <v>2</v>
      </c>
      <c r="H12" s="33">
        <f>COUNT(F12:F21)</f>
        <v/>
      </c>
      <c r="I12" s="33">
        <f>COUNTIF(F12:F21,"&gt;=5.0")</f>
        <v/>
      </c>
      <c r="J12" s="33">
        <f>ROUND((I12/H12)*100,1)</f>
        <v/>
      </c>
      <c r="K12" s="33">
        <f>IF(J12&lt;60,1,IF(AND(J12&gt;59,J12&lt;70),2,IF(AND(J12&gt;69,J12&lt;80),3,4)))</f>
        <v/>
      </c>
    </row>
    <row r="13">
      <c r="A13" s="23" t="n">
        <v>12</v>
      </c>
      <c r="B13" s="23" t="n"/>
      <c r="C13" s="23" t="n"/>
      <c r="D13" s="23" t="n">
        <v>2</v>
      </c>
      <c r="E13" s="23" t="n"/>
      <c r="F13" s="23" t="n">
        <v>8</v>
      </c>
      <c r="G13" s="23" t="n"/>
      <c r="H13" s="34" t="n"/>
      <c r="I13" s="34" t="n"/>
      <c r="J13" s="34" t="n"/>
      <c r="K13" s="34" t="n"/>
    </row>
    <row r="14">
      <c r="A14" s="23" t="n">
        <v>13</v>
      </c>
      <c r="B14" s="23" t="n"/>
      <c r="C14" s="23" t="n"/>
      <c r="D14" s="23" t="n">
        <v>2</v>
      </c>
      <c r="E14" s="23" t="n"/>
      <c r="F14" s="23" t="n">
        <v>5</v>
      </c>
      <c r="G14" s="23" t="n"/>
      <c r="H14" s="34" t="n"/>
      <c r="I14" s="34" t="n"/>
      <c r="J14" s="34" t="n"/>
      <c r="K14" s="34" t="n"/>
    </row>
    <row r="15">
      <c r="A15" s="23" t="n">
        <v>14</v>
      </c>
      <c r="B15" s="23" t="n"/>
      <c r="C15" s="23" t="n"/>
      <c r="D15" s="23" t="n">
        <v>2</v>
      </c>
      <c r="E15" s="23" t="n"/>
      <c r="F15" s="23" t="n">
        <v>6</v>
      </c>
      <c r="G15" s="23" t="n"/>
      <c r="H15" s="34" t="n"/>
      <c r="I15" s="34" t="n"/>
      <c r="J15" s="34" t="n"/>
      <c r="K15" s="34" t="n"/>
    </row>
    <row r="16">
      <c r="A16" s="23" t="n">
        <v>15</v>
      </c>
      <c r="B16" s="23" t="n"/>
      <c r="C16" s="23" t="n"/>
      <c r="D16" s="23" t="n">
        <v>2</v>
      </c>
      <c r="E16" s="23" t="n"/>
      <c r="F16" s="23" t="n">
        <v>4</v>
      </c>
      <c r="G16" s="23" t="n"/>
      <c r="H16" s="34" t="n"/>
      <c r="I16" s="34" t="n"/>
      <c r="J16" s="34" t="n"/>
      <c r="K16" s="34" t="n"/>
    </row>
    <row r="17">
      <c r="A17" s="23" t="n">
        <v>16</v>
      </c>
      <c r="B17" s="23" t="n"/>
      <c r="C17" s="23" t="n"/>
      <c r="D17" s="23" t="n">
        <v>2</v>
      </c>
      <c r="E17" s="23" t="n"/>
      <c r="F17" s="23" t="n">
        <v>7</v>
      </c>
      <c r="G17" s="23" t="n"/>
      <c r="H17" s="34" t="n"/>
      <c r="I17" s="34" t="n"/>
      <c r="J17" s="34" t="n"/>
      <c r="K17" s="34" t="n"/>
    </row>
    <row r="18">
      <c r="A18" s="23" t="n">
        <v>17</v>
      </c>
      <c r="B18" s="23" t="n"/>
      <c r="C18" s="23" t="n"/>
      <c r="D18" s="23" t="n">
        <v>2</v>
      </c>
      <c r="E18" s="23" t="n"/>
      <c r="F18" s="23" t="n">
        <v>8</v>
      </c>
      <c r="G18" s="23" t="n"/>
      <c r="H18" s="34" t="n"/>
      <c r="I18" s="34" t="n"/>
      <c r="J18" s="34" t="n"/>
      <c r="K18" s="34" t="n"/>
    </row>
    <row r="19">
      <c r="A19" s="23" t="n">
        <v>18</v>
      </c>
      <c r="B19" s="23" t="n"/>
      <c r="C19" s="23" t="n"/>
      <c r="D19" s="23" t="n">
        <v>2</v>
      </c>
      <c r="E19" s="23" t="n"/>
      <c r="F19" s="23" t="n">
        <v>5</v>
      </c>
      <c r="G19" s="23" t="n"/>
      <c r="H19" s="34" t="n"/>
      <c r="I19" s="34" t="n"/>
      <c r="J19" s="34" t="n"/>
      <c r="K19" s="34" t="n"/>
    </row>
    <row r="20">
      <c r="A20" s="23" t="n">
        <v>19</v>
      </c>
      <c r="B20" s="23" t="n"/>
      <c r="C20" s="23" t="n"/>
      <c r="D20" s="23" t="n">
        <v>2</v>
      </c>
      <c r="E20" s="23" t="n"/>
      <c r="F20" s="23" t="n">
        <v>10</v>
      </c>
      <c r="G20" s="23" t="n"/>
      <c r="H20" s="34" t="n"/>
      <c r="I20" s="34" t="n"/>
      <c r="J20" s="34" t="n"/>
      <c r="K20" s="34" t="n"/>
    </row>
    <row r="21">
      <c r="A21" s="24" t="n">
        <v>20</v>
      </c>
      <c r="B21" s="24" t="n"/>
      <c r="C21" s="24" t="n"/>
      <c r="D21" s="24" t="n">
        <v>2</v>
      </c>
      <c r="E21" s="24" t="n"/>
      <c r="F21" s="24" t="n"/>
      <c r="G21" s="24" t="n"/>
      <c r="H21" s="35" t="n"/>
      <c r="I21" s="35" t="n"/>
      <c r="J21" s="35" t="n"/>
      <c r="K21" s="35" t="n"/>
    </row>
    <row r="22">
      <c r="A22" s="21" t="n">
        <v>21</v>
      </c>
      <c r="B22" s="21" t="n"/>
      <c r="C22" s="21" t="n"/>
      <c r="D22" s="21" t="n">
        <v>3</v>
      </c>
      <c r="E22" s="21" t="n"/>
      <c r="F22" s="21" t="n">
        <v>10</v>
      </c>
      <c r="G22" s="6" t="n">
        <v>3</v>
      </c>
      <c r="H22" s="33">
        <f>COUNT(F22:F31)</f>
        <v/>
      </c>
      <c r="I22" s="33">
        <f>COUNTIF(F22:F31,"&gt;=5.0")</f>
        <v/>
      </c>
      <c r="J22" s="33">
        <f>ROUND((I22/H22)*100,1)</f>
        <v/>
      </c>
      <c r="K22" s="33">
        <f>IF(J22&lt;60,1,IF(AND(J22&gt;59,J22&lt;70),2,IF(AND(J22&gt;69,J22&lt;80),3,4)))</f>
        <v/>
      </c>
    </row>
    <row r="23">
      <c r="A23" s="23" t="n">
        <v>22</v>
      </c>
      <c r="B23" s="23" t="n"/>
      <c r="C23" s="23" t="n"/>
      <c r="D23" s="23" t="n">
        <v>3</v>
      </c>
      <c r="E23" s="23" t="n"/>
      <c r="F23" s="23" t="n">
        <v>8</v>
      </c>
      <c r="G23" s="23" t="n"/>
      <c r="H23" s="34" t="n"/>
      <c r="I23" s="34" t="n"/>
      <c r="J23" s="34" t="n"/>
      <c r="K23" s="34" t="n"/>
    </row>
    <row r="24">
      <c r="A24" s="23" t="n">
        <v>23</v>
      </c>
      <c r="B24" s="23" t="n"/>
      <c r="C24" s="23" t="n"/>
      <c r="D24" s="23" t="n">
        <v>3</v>
      </c>
      <c r="E24" s="23" t="n"/>
      <c r="F24" s="23" t="n">
        <v>5</v>
      </c>
      <c r="G24" s="23" t="n"/>
      <c r="H24" s="34" t="n"/>
      <c r="I24" s="34" t="n"/>
      <c r="J24" s="34" t="n"/>
      <c r="K24" s="34" t="n"/>
    </row>
    <row r="25">
      <c r="A25" s="23" t="n">
        <v>24</v>
      </c>
      <c r="B25" s="23" t="n"/>
      <c r="C25" s="23" t="n"/>
      <c r="D25" s="23" t="n">
        <v>3</v>
      </c>
      <c r="E25" s="23" t="n"/>
      <c r="F25" s="23" t="n">
        <v>6</v>
      </c>
      <c r="G25" s="23" t="n"/>
      <c r="H25" s="34" t="n"/>
      <c r="I25" s="34" t="n"/>
      <c r="J25" s="34" t="n"/>
      <c r="K25" s="34" t="n"/>
    </row>
    <row r="26">
      <c r="A26" s="23" t="n">
        <v>25</v>
      </c>
      <c r="B26" s="23" t="n"/>
      <c r="C26" s="23" t="n"/>
      <c r="D26" s="23" t="n">
        <v>3</v>
      </c>
      <c r="E26" s="23" t="n"/>
      <c r="F26" s="23" t="n">
        <v>4</v>
      </c>
      <c r="G26" s="23" t="n"/>
      <c r="H26" s="34" t="n"/>
      <c r="I26" s="34" t="n"/>
      <c r="J26" s="34" t="n"/>
      <c r="K26" s="34" t="n"/>
    </row>
    <row r="27">
      <c r="A27" s="23" t="n">
        <v>26</v>
      </c>
      <c r="B27" s="23" t="n"/>
      <c r="C27" s="23" t="n"/>
      <c r="D27" s="23" t="n">
        <v>3</v>
      </c>
      <c r="E27" s="23" t="n"/>
      <c r="F27" s="23" t="n">
        <v>7</v>
      </c>
      <c r="G27" s="23" t="n"/>
      <c r="H27" s="34" t="n"/>
      <c r="I27" s="34" t="n"/>
      <c r="J27" s="34" t="n"/>
      <c r="K27" s="34" t="n"/>
    </row>
    <row r="28">
      <c r="A28" s="23" t="n">
        <v>27</v>
      </c>
      <c r="B28" s="23" t="n"/>
      <c r="C28" s="23" t="n"/>
      <c r="D28" s="23" t="n">
        <v>3</v>
      </c>
      <c r="E28" s="23" t="n"/>
      <c r="F28" s="23" t="n">
        <v>8</v>
      </c>
      <c r="G28" s="23" t="n"/>
      <c r="H28" s="34" t="n"/>
      <c r="I28" s="34" t="n"/>
      <c r="J28" s="34" t="n"/>
      <c r="K28" s="34" t="n"/>
    </row>
    <row r="29">
      <c r="A29" s="23" t="n">
        <v>28</v>
      </c>
      <c r="B29" s="23" t="n"/>
      <c r="C29" s="23" t="n"/>
      <c r="D29" s="23" t="n">
        <v>3</v>
      </c>
      <c r="E29" s="23" t="n"/>
      <c r="F29" s="23" t="n">
        <v>5</v>
      </c>
      <c r="G29" s="23" t="n"/>
      <c r="H29" s="34" t="n"/>
      <c r="I29" s="34" t="n"/>
      <c r="J29" s="34" t="n"/>
      <c r="K29" s="34" t="n"/>
    </row>
    <row r="30">
      <c r="A30" s="23" t="n">
        <v>29</v>
      </c>
      <c r="B30" s="23" t="n"/>
      <c r="C30" s="23" t="n"/>
      <c r="D30" s="23" t="n">
        <v>3</v>
      </c>
      <c r="E30" s="23" t="n"/>
      <c r="F30" s="23" t="n">
        <v>10</v>
      </c>
      <c r="G30" s="23" t="n"/>
      <c r="H30" s="34" t="n"/>
      <c r="I30" s="34" t="n"/>
      <c r="J30" s="34" t="n"/>
      <c r="K30" s="34" t="n"/>
    </row>
    <row r="31">
      <c r="A31" s="24" t="n">
        <v>30</v>
      </c>
      <c r="B31" s="24" t="n"/>
      <c r="C31" s="24" t="n"/>
      <c r="D31" s="24" t="n">
        <v>3</v>
      </c>
      <c r="E31" s="24" t="n"/>
      <c r="F31" s="24" t="n"/>
      <c r="G31" s="24" t="n"/>
      <c r="H31" s="35" t="n"/>
      <c r="I31" s="35" t="n"/>
      <c r="J31" s="35" t="n"/>
      <c r="K31" s="35" t="n"/>
    </row>
    <row r="32">
      <c r="A32" s="21" t="n">
        <v>31</v>
      </c>
      <c r="B32" s="21" t="n"/>
      <c r="C32" s="21" t="n"/>
      <c r="D32" s="21" t="n">
        <v>4</v>
      </c>
      <c r="E32" s="21" t="n"/>
      <c r="F32" s="25" t="n">
        <v>10</v>
      </c>
      <c r="G32" s="6" t="n">
        <v>4</v>
      </c>
      <c r="H32" s="33">
        <f>COUNT(F32:F41)</f>
        <v/>
      </c>
      <c r="I32" s="33">
        <f>COUNTIF(F32:F41,"&gt;=5.0")</f>
        <v/>
      </c>
      <c r="J32" s="33">
        <f>ROUND((I32/H32)*100,1)</f>
        <v/>
      </c>
      <c r="K32" s="33">
        <f>IF(J32&lt;60,1,IF(AND(J32&gt;59,J32&lt;70),2,IF(AND(J32&gt;69,J32&lt;80),3,4)))</f>
        <v/>
      </c>
    </row>
    <row r="33">
      <c r="A33" s="23" t="n">
        <v>32</v>
      </c>
      <c r="B33" s="23" t="n"/>
      <c r="C33" s="23" t="n"/>
      <c r="D33" s="23" t="n">
        <v>4</v>
      </c>
      <c r="E33" s="23" t="n"/>
      <c r="F33" s="26" t="n">
        <v>8</v>
      </c>
      <c r="G33" s="23" t="n"/>
      <c r="H33" s="34" t="n"/>
      <c r="I33" s="34" t="n"/>
      <c r="J33" s="34" t="n"/>
      <c r="K33" s="34" t="n"/>
    </row>
    <row r="34">
      <c r="A34" s="23" t="n">
        <v>33</v>
      </c>
      <c r="B34" s="23" t="n"/>
      <c r="C34" s="23" t="n"/>
      <c r="D34" s="23" t="n">
        <v>4</v>
      </c>
      <c r="E34" s="23" t="n"/>
      <c r="F34" s="26" t="n">
        <v>5</v>
      </c>
      <c r="G34" s="23" t="n"/>
      <c r="H34" s="34" t="n"/>
      <c r="I34" s="34" t="n"/>
      <c r="J34" s="34" t="n"/>
      <c r="K34" s="34" t="n"/>
    </row>
    <row r="35">
      <c r="A35" s="23" t="n">
        <v>34</v>
      </c>
      <c r="B35" s="23" t="n"/>
      <c r="C35" s="23" t="n"/>
      <c r="D35" s="23" t="n">
        <v>4</v>
      </c>
      <c r="E35" s="23" t="n"/>
      <c r="F35" s="26" t="n">
        <v>6</v>
      </c>
      <c r="G35" s="23" t="n"/>
      <c r="H35" s="34" t="n"/>
      <c r="I35" s="34" t="n"/>
      <c r="J35" s="34" t="n"/>
      <c r="K35" s="34" t="n"/>
    </row>
    <row r="36">
      <c r="A36" s="23" t="n">
        <v>35</v>
      </c>
      <c r="B36" s="23" t="n"/>
      <c r="C36" s="23" t="n"/>
      <c r="D36" s="23" t="n">
        <v>4</v>
      </c>
      <c r="E36" s="23" t="n"/>
      <c r="F36" s="26" t="n">
        <v>4</v>
      </c>
      <c r="G36" s="23" t="n"/>
      <c r="H36" s="34" t="n"/>
      <c r="I36" s="34" t="n"/>
      <c r="J36" s="34" t="n"/>
      <c r="K36" s="34" t="n"/>
    </row>
    <row r="37">
      <c r="A37" s="23" t="n">
        <v>36</v>
      </c>
      <c r="B37" s="23" t="n"/>
      <c r="C37" s="23" t="n"/>
      <c r="D37" s="23" t="n">
        <v>4</v>
      </c>
      <c r="E37" s="23" t="n"/>
      <c r="F37" s="26" t="n">
        <v>7</v>
      </c>
      <c r="G37" s="23" t="n"/>
      <c r="H37" s="34" t="n"/>
      <c r="I37" s="34" t="n"/>
      <c r="J37" s="34" t="n"/>
      <c r="K37" s="34" t="n"/>
    </row>
    <row r="38">
      <c r="A38" s="23" t="n">
        <v>37</v>
      </c>
      <c r="B38" s="23" t="n"/>
      <c r="C38" s="23" t="n"/>
      <c r="D38" s="23" t="n">
        <v>4</v>
      </c>
      <c r="E38" s="23" t="n"/>
      <c r="F38" s="26" t="n">
        <v>8</v>
      </c>
      <c r="G38" s="23" t="n"/>
      <c r="H38" s="34" t="n"/>
      <c r="I38" s="34" t="n"/>
      <c r="J38" s="34" t="n"/>
      <c r="K38" s="34" t="n"/>
    </row>
    <row r="39">
      <c r="A39" s="23" t="n">
        <v>38</v>
      </c>
      <c r="B39" s="23" t="n"/>
      <c r="C39" s="23" t="n"/>
      <c r="D39" s="23" t="n">
        <v>4</v>
      </c>
      <c r="E39" s="23" t="n"/>
      <c r="F39" s="26" t="n">
        <v>5</v>
      </c>
      <c r="G39" s="23" t="n"/>
      <c r="H39" s="34" t="n"/>
      <c r="I39" s="34" t="n"/>
      <c r="J39" s="34" t="n"/>
      <c r="K39" s="34" t="n"/>
    </row>
    <row r="40">
      <c r="A40" s="23" t="n">
        <v>39</v>
      </c>
      <c r="B40" s="23" t="n"/>
      <c r="C40" s="23" t="n"/>
      <c r="D40" s="23" t="n">
        <v>4</v>
      </c>
      <c r="E40" s="23" t="n"/>
      <c r="F40" s="26" t="n">
        <v>10</v>
      </c>
      <c r="G40" s="23" t="n"/>
      <c r="H40" s="34" t="n"/>
      <c r="I40" s="34" t="n"/>
      <c r="J40" s="34" t="n"/>
      <c r="K40" s="34" t="n"/>
    </row>
    <row r="41">
      <c r="A41" s="24" t="n">
        <v>40</v>
      </c>
      <c r="B41" s="24" t="n"/>
      <c r="C41" s="24" t="n"/>
      <c r="D41" s="24" t="n">
        <v>4</v>
      </c>
      <c r="E41" s="24" t="n"/>
      <c r="F41" s="27" t="n"/>
      <c r="G41" s="24" t="n"/>
      <c r="H41" s="35" t="n"/>
      <c r="I41" s="35" t="n"/>
      <c r="J41" s="35" t="n"/>
      <c r="K41" s="35" t="n"/>
    </row>
    <row r="42">
      <c r="A42" s="21" t="n">
        <v>41</v>
      </c>
      <c r="B42" s="21" t="n"/>
      <c r="C42" s="21" t="n"/>
      <c r="D42" s="21" t="n">
        <v>5</v>
      </c>
      <c r="E42" s="21" t="n"/>
      <c r="F42" s="25" t="n">
        <v>10</v>
      </c>
      <c r="G42" s="6" t="n">
        <v>2</v>
      </c>
      <c r="H42" s="33">
        <f>COUNT(F42:F51)</f>
        <v/>
      </c>
      <c r="I42" s="33">
        <f>COUNTIF(F42:F51,"&gt;=5.0")</f>
        <v/>
      </c>
      <c r="J42" s="33">
        <f>ROUND((I42/H42)*100,1)</f>
        <v/>
      </c>
      <c r="K42" s="33">
        <f>IF(J42&lt;60,1,IF(AND(J42&gt;59,J42&lt;70),2,IF(AND(J42&gt;69,J42&lt;80),3,4)))</f>
        <v/>
      </c>
    </row>
    <row r="43">
      <c r="A43" s="23" t="n">
        <v>42</v>
      </c>
      <c r="B43" s="23" t="n"/>
      <c r="C43" s="23" t="n"/>
      <c r="D43" s="23" t="n">
        <v>5</v>
      </c>
      <c r="E43" s="23" t="n"/>
      <c r="F43" s="26" t="n">
        <v>8</v>
      </c>
      <c r="G43" s="23" t="n"/>
      <c r="H43" s="34" t="n"/>
      <c r="I43" s="34" t="n"/>
      <c r="J43" s="34" t="n"/>
      <c r="K43" s="34" t="n"/>
    </row>
    <row r="44">
      <c r="A44" s="23" t="n">
        <v>43</v>
      </c>
      <c r="B44" s="23" t="n"/>
      <c r="C44" s="23" t="n"/>
      <c r="D44" s="23" t="n">
        <v>5</v>
      </c>
      <c r="E44" s="23" t="n"/>
      <c r="F44" s="26" t="n">
        <v>5</v>
      </c>
      <c r="G44" s="23" t="n"/>
      <c r="H44" s="34" t="n"/>
      <c r="I44" s="34" t="n"/>
      <c r="J44" s="34" t="n"/>
      <c r="K44" s="34" t="n"/>
    </row>
    <row r="45">
      <c r="A45" s="23" t="n">
        <v>44</v>
      </c>
      <c r="B45" s="23" t="n"/>
      <c r="C45" s="23" t="n"/>
      <c r="D45" s="23" t="n">
        <v>5</v>
      </c>
      <c r="E45" s="23" t="n"/>
      <c r="F45" s="26" t="n">
        <v>6</v>
      </c>
      <c r="G45" s="23" t="n"/>
      <c r="H45" s="34" t="n"/>
      <c r="I45" s="34" t="n"/>
      <c r="J45" s="34" t="n"/>
      <c r="K45" s="34" t="n"/>
    </row>
    <row r="46">
      <c r="A46" s="23" t="n">
        <v>45</v>
      </c>
      <c r="B46" s="23" t="n"/>
      <c r="C46" s="23" t="n"/>
      <c r="D46" s="23" t="n">
        <v>5</v>
      </c>
      <c r="E46" s="23" t="n"/>
      <c r="F46" s="26" t="n">
        <v>4</v>
      </c>
      <c r="G46" s="23" t="n"/>
      <c r="H46" s="34" t="n"/>
      <c r="I46" s="34" t="n"/>
      <c r="J46" s="34" t="n"/>
      <c r="K46" s="34" t="n"/>
    </row>
    <row r="47">
      <c r="A47" s="23" t="n">
        <v>46</v>
      </c>
      <c r="B47" s="23" t="n"/>
      <c r="C47" s="23" t="n"/>
      <c r="D47" s="23" t="n">
        <v>5</v>
      </c>
      <c r="E47" s="23" t="n"/>
      <c r="F47" s="26" t="n">
        <v>7</v>
      </c>
      <c r="G47" s="23" t="n"/>
      <c r="H47" s="34" t="n"/>
      <c r="I47" s="34" t="n"/>
      <c r="J47" s="34" t="n"/>
      <c r="K47" s="34" t="n"/>
    </row>
    <row r="48">
      <c r="A48" s="23" t="n">
        <v>47</v>
      </c>
      <c r="B48" s="23" t="n"/>
      <c r="C48" s="23" t="n"/>
      <c r="D48" s="23" t="n">
        <v>5</v>
      </c>
      <c r="E48" s="23" t="n"/>
      <c r="F48" s="26" t="n">
        <v>8</v>
      </c>
      <c r="G48" s="23" t="n"/>
      <c r="H48" s="34" t="n"/>
      <c r="I48" s="34" t="n"/>
      <c r="J48" s="34" t="n"/>
      <c r="K48" s="34" t="n"/>
    </row>
    <row r="49">
      <c r="A49" s="23" t="n">
        <v>48</v>
      </c>
      <c r="B49" s="23" t="n"/>
      <c r="C49" s="23" t="n"/>
      <c r="D49" s="23" t="n">
        <v>5</v>
      </c>
      <c r="E49" s="23" t="n"/>
      <c r="F49" s="26" t="n">
        <v>5</v>
      </c>
      <c r="G49" s="23" t="n"/>
      <c r="H49" s="34" t="n"/>
      <c r="I49" s="34" t="n"/>
      <c r="J49" s="34" t="n"/>
      <c r="K49" s="34" t="n"/>
    </row>
    <row r="50">
      <c r="A50" s="23" t="n">
        <v>49</v>
      </c>
      <c r="B50" s="23" t="n"/>
      <c r="C50" s="23" t="n"/>
      <c r="D50" s="23" t="n">
        <v>5</v>
      </c>
      <c r="E50" s="23" t="n"/>
      <c r="F50" s="26" t="n">
        <v>10</v>
      </c>
      <c r="G50" s="23" t="n"/>
      <c r="H50" s="34" t="n"/>
      <c r="I50" s="34" t="n"/>
      <c r="J50" s="34" t="n"/>
      <c r="K50" s="34" t="n"/>
    </row>
    <row r="51">
      <c r="A51" s="24" t="n">
        <v>50</v>
      </c>
      <c r="B51" s="24" t="n"/>
      <c r="C51" s="24" t="n"/>
      <c r="D51" s="24" t="n">
        <v>5</v>
      </c>
      <c r="E51" s="24" t="n"/>
      <c r="F51" s="27" t="n"/>
      <c r="G51" s="24" t="n"/>
      <c r="H51" s="35" t="n"/>
      <c r="I51" s="35" t="n"/>
      <c r="J51" s="35" t="n"/>
      <c r="K51" s="35" t="n"/>
    </row>
    <row r="52">
      <c r="A52" s="21" t="n">
        <v>51</v>
      </c>
      <c r="B52" s="21" t="n"/>
      <c r="C52" s="21" t="n"/>
      <c r="D52" s="21" t="n">
        <v>6</v>
      </c>
      <c r="E52" s="21" t="n"/>
      <c r="F52" s="25" t="n">
        <v>10</v>
      </c>
      <c r="G52" s="6" t="n">
        <v>1</v>
      </c>
      <c r="H52" s="33">
        <f>COUNT(F52:F61)</f>
        <v/>
      </c>
      <c r="I52" s="33">
        <f>COUNTIF(F52:F61,"&gt;=5.0")</f>
        <v/>
      </c>
      <c r="J52" s="33">
        <f>ROUND((I52/H52)*100,1)</f>
        <v/>
      </c>
      <c r="K52" s="33">
        <f>IF(J52&lt;60,1,IF(AND(J52&gt;59,J52&lt;70),2,IF(AND(J52&gt;69,J52&lt;80),3,4)))</f>
        <v/>
      </c>
    </row>
    <row r="53">
      <c r="A53" s="23" t="n">
        <v>52</v>
      </c>
      <c r="B53" s="23" t="n"/>
      <c r="C53" s="23" t="n"/>
      <c r="D53" s="23" t="n">
        <v>6</v>
      </c>
      <c r="E53" s="23" t="n"/>
      <c r="F53" s="26" t="n">
        <v>8</v>
      </c>
      <c r="G53" s="23" t="n"/>
      <c r="H53" s="34" t="n"/>
      <c r="I53" s="34" t="n"/>
      <c r="J53" s="34" t="n"/>
      <c r="K53" s="34" t="n"/>
    </row>
    <row r="54">
      <c r="A54" s="23" t="n">
        <v>53</v>
      </c>
      <c r="B54" s="23" t="n"/>
      <c r="C54" s="23" t="n"/>
      <c r="D54" s="23" t="n">
        <v>6</v>
      </c>
      <c r="E54" s="23" t="n"/>
      <c r="F54" s="26" t="n">
        <v>5</v>
      </c>
      <c r="G54" s="23" t="n"/>
      <c r="H54" s="34" t="n"/>
      <c r="I54" s="34" t="n"/>
      <c r="J54" s="34" t="n"/>
      <c r="K54" s="34" t="n"/>
    </row>
    <row r="55">
      <c r="A55" s="23" t="n">
        <v>54</v>
      </c>
      <c r="B55" s="23" t="n"/>
      <c r="C55" s="23" t="n"/>
      <c r="D55" s="23" t="n">
        <v>6</v>
      </c>
      <c r="E55" s="23" t="n"/>
      <c r="F55" s="26" t="n">
        <v>6</v>
      </c>
      <c r="G55" s="23" t="n"/>
      <c r="H55" s="34" t="n"/>
      <c r="I55" s="34" t="n"/>
      <c r="J55" s="34" t="n"/>
      <c r="K55" s="34" t="n"/>
    </row>
    <row r="56">
      <c r="A56" s="23" t="n">
        <v>55</v>
      </c>
      <c r="B56" s="23" t="n"/>
      <c r="C56" s="23" t="n"/>
      <c r="D56" s="23" t="n">
        <v>6</v>
      </c>
      <c r="E56" s="23" t="n"/>
      <c r="F56" s="26" t="n">
        <v>4</v>
      </c>
      <c r="G56" s="23" t="n"/>
      <c r="H56" s="34" t="n"/>
      <c r="I56" s="34" t="n"/>
      <c r="J56" s="34" t="n"/>
      <c r="K56" s="34" t="n"/>
    </row>
    <row r="57">
      <c r="A57" s="23" t="n">
        <v>56</v>
      </c>
      <c r="B57" s="23" t="n"/>
      <c r="C57" s="23" t="n"/>
      <c r="D57" s="23" t="n">
        <v>6</v>
      </c>
      <c r="E57" s="23" t="n"/>
      <c r="F57" s="26" t="n">
        <v>7</v>
      </c>
      <c r="G57" s="23" t="n"/>
      <c r="H57" s="34" t="n"/>
      <c r="I57" s="34" t="n"/>
      <c r="J57" s="34" t="n"/>
      <c r="K57" s="34" t="n"/>
    </row>
    <row r="58">
      <c r="A58" s="23" t="n">
        <v>57</v>
      </c>
      <c r="B58" s="23" t="n"/>
      <c r="C58" s="23" t="n"/>
      <c r="D58" s="23" t="n">
        <v>6</v>
      </c>
      <c r="E58" s="23" t="n"/>
      <c r="F58" s="26" t="n">
        <v>8</v>
      </c>
      <c r="G58" s="23" t="n"/>
      <c r="H58" s="34" t="n"/>
      <c r="I58" s="34" t="n"/>
      <c r="J58" s="34" t="n"/>
      <c r="K58" s="34" t="n"/>
    </row>
    <row r="59">
      <c r="A59" s="23" t="n">
        <v>58</v>
      </c>
      <c r="B59" s="23" t="n"/>
      <c r="C59" s="23" t="n"/>
      <c r="D59" s="23" t="n">
        <v>6</v>
      </c>
      <c r="E59" s="23" t="n"/>
      <c r="F59" s="26" t="n">
        <v>5</v>
      </c>
      <c r="G59" s="23" t="n"/>
      <c r="H59" s="34" t="n"/>
      <c r="I59" s="34" t="n"/>
      <c r="J59" s="34" t="n"/>
      <c r="K59" s="34" t="n"/>
    </row>
    <row r="60">
      <c r="A60" s="23" t="n">
        <v>59</v>
      </c>
      <c r="B60" s="23" t="n"/>
      <c r="C60" s="23" t="n"/>
      <c r="D60" s="23" t="n">
        <v>6</v>
      </c>
      <c r="E60" s="23" t="n"/>
      <c r="F60" s="26" t="n">
        <v>10</v>
      </c>
      <c r="G60" s="23" t="n"/>
      <c r="H60" s="34" t="n"/>
      <c r="I60" s="34" t="n"/>
      <c r="J60" s="34" t="n"/>
      <c r="K60" s="34" t="n"/>
    </row>
    <row r="61">
      <c r="A61" s="24" t="n">
        <v>60</v>
      </c>
      <c r="B61" s="24" t="n"/>
      <c r="C61" s="24" t="n"/>
      <c r="D61" s="24" t="n">
        <v>6</v>
      </c>
      <c r="E61" s="24" t="n"/>
      <c r="F61" s="27" t="n"/>
      <c r="G61" s="24" t="n"/>
      <c r="H61" s="35" t="n"/>
      <c r="I61" s="35" t="n"/>
      <c r="J61" s="35" t="n"/>
      <c r="K61" s="35" t="n"/>
    </row>
    <row r="66">
      <c r="H66" s="36" t="inlineStr">
        <is>
          <t>COs</t>
        </is>
      </c>
      <c r="I66" s="36" t="inlineStr">
        <is>
          <t>Average AL</t>
        </is>
      </c>
    </row>
    <row r="67">
      <c r="H67" s="37" t="n">
        <v>1</v>
      </c>
      <c r="I67" s="37">
        <f>ROUND(AVERAGE(K2,K52),1)</f>
        <v/>
      </c>
    </row>
    <row r="68">
      <c r="H68" s="37" t="n">
        <v>2</v>
      </c>
      <c r="I68" s="37">
        <f>ROUND(AVERAGE(K12,K42),1)</f>
        <v/>
      </c>
    </row>
    <row r="69">
      <c r="H69" s="37" t="n">
        <v>3</v>
      </c>
      <c r="I69" s="37">
        <f>ROUND(AVERAGE(K22),1)</f>
        <v/>
      </c>
    </row>
    <row r="70">
      <c r="H70" s="37" t="n">
        <v>4</v>
      </c>
      <c r="I70" s="37">
        <f>ROUND(AVERAGE(K32),1)</f>
        <v/>
      </c>
    </row>
    <row r="71">
      <c r="H71" s="37" t="n">
        <v>5</v>
      </c>
      <c r="I71" s="37" t="inlineStr">
        <is>
          <t>-</t>
        </is>
      </c>
    </row>
    <row r="72">
      <c r="H72" s="37" t="n">
        <v>6</v>
      </c>
      <c r="I72" s="37" t="inlineStr">
        <is>
          <t>-</t>
        </is>
      </c>
    </row>
  </sheetData>
  <mergeCells count="30">
    <mergeCell ref="H12:H21"/>
    <mergeCell ref="J12:J21"/>
    <mergeCell ref="J52:J61"/>
    <mergeCell ref="G32:G41"/>
    <mergeCell ref="G12:G21"/>
    <mergeCell ref="J2:J11"/>
    <mergeCell ref="H42:H51"/>
    <mergeCell ref="J42:J51"/>
    <mergeCell ref="G22:G31"/>
    <mergeCell ref="I2:I11"/>
    <mergeCell ref="G52:G61"/>
    <mergeCell ref="G2:G11"/>
    <mergeCell ref="G42:G51"/>
    <mergeCell ref="I32:I41"/>
    <mergeCell ref="H52:H61"/>
    <mergeCell ref="H2:H11"/>
    <mergeCell ref="K32:K41"/>
    <mergeCell ref="K12:K21"/>
    <mergeCell ref="I22:I31"/>
    <mergeCell ref="K22:K31"/>
    <mergeCell ref="K2:K11"/>
    <mergeCell ref="I12:I21"/>
    <mergeCell ref="I52:I61"/>
    <mergeCell ref="K52:K61"/>
    <mergeCell ref="H32:H41"/>
    <mergeCell ref="I42:I51"/>
    <mergeCell ref="J32:J41"/>
    <mergeCell ref="K42:K51"/>
    <mergeCell ref="H22:H31"/>
    <mergeCell ref="J22:J3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8"/>
  <sheetViews>
    <sheetView topLeftCell="D31" workbookViewId="0">
      <selection activeCell="O46" sqref="O46"/>
    </sheetView>
  </sheetViews>
  <sheetFormatPr baseColWidth="8" defaultColWidth="9" defaultRowHeight="14.4"/>
  <cols>
    <col width="40" customWidth="1" min="2" max="3"/>
    <col width="40" customWidth="1" min="6" max="6"/>
  </cols>
  <sheetData>
    <row r="1">
      <c r="A1" s="5" t="inlineStr">
        <is>
          <t>Sr. No.</t>
        </is>
      </c>
      <c r="B1" s="5" t="inlineStr">
        <is>
          <t>Email Address</t>
        </is>
      </c>
      <c r="C1" s="5" t="inlineStr">
        <is>
          <t>Full name of Student</t>
        </is>
      </c>
      <c r="D1" s="5" t="inlineStr">
        <is>
          <t>Roll No.</t>
        </is>
      </c>
      <c r="E1" s="5" t="inlineStr">
        <is>
          <t>Class</t>
        </is>
      </c>
      <c r="F1" s="5" t="inlineStr">
        <is>
          <t>Branch</t>
        </is>
      </c>
      <c r="G1" s="5" t="inlineStr">
        <is>
          <t>Q1</t>
        </is>
      </c>
      <c r="H1" s="5" t="inlineStr">
        <is>
          <t>Q2</t>
        </is>
      </c>
      <c r="I1" s="5" t="inlineStr">
        <is>
          <t>Q3</t>
        </is>
      </c>
      <c r="J1" s="5" t="inlineStr">
        <is>
          <t>Q4</t>
        </is>
      </c>
      <c r="K1" s="5" t="inlineStr">
        <is>
          <t>Q5</t>
        </is>
      </c>
      <c r="L1" s="5" t="inlineStr">
        <is>
          <t>Q6</t>
        </is>
      </c>
    </row>
    <row r="2">
      <c r="A2" s="6" t="n">
        <v>1</v>
      </c>
      <c r="B2" s="6" t="n"/>
      <c r="C2" s="6" t="n"/>
      <c r="D2" s="6" t="n"/>
      <c r="E2" s="6" t="inlineStr">
        <is>
          <t>D10A</t>
        </is>
      </c>
      <c r="F2" s="6" t="inlineStr">
        <is>
          <t>Information Technology</t>
        </is>
      </c>
      <c r="G2" s="6" t="n">
        <v>4</v>
      </c>
      <c r="H2" s="6" t="n">
        <v>5</v>
      </c>
      <c r="I2" s="6" t="n">
        <v>3</v>
      </c>
      <c r="J2" s="6" t="n">
        <v>4</v>
      </c>
      <c r="K2" s="6" t="n">
        <v>5</v>
      </c>
      <c r="L2" s="6" t="n">
        <v>2</v>
      </c>
    </row>
    <row r="3">
      <c r="A3" s="6" t="n">
        <v>2</v>
      </c>
      <c r="B3" s="6" t="n"/>
      <c r="C3" s="6" t="n"/>
      <c r="D3" s="6" t="n"/>
      <c r="E3" s="6" t="inlineStr">
        <is>
          <t>D10A</t>
        </is>
      </c>
      <c r="F3" s="6" t="inlineStr">
        <is>
          <t>Information Technology</t>
        </is>
      </c>
      <c r="G3" s="6" t="n">
        <v>4</v>
      </c>
      <c r="H3" s="6" t="n">
        <v>5</v>
      </c>
      <c r="I3" s="6" t="n">
        <v>3</v>
      </c>
      <c r="J3" s="6" t="n">
        <v>4</v>
      </c>
      <c r="K3" s="6" t="n">
        <v>5</v>
      </c>
      <c r="L3" s="6" t="n">
        <v>2</v>
      </c>
    </row>
    <row r="4">
      <c r="A4" s="6" t="n">
        <v>3</v>
      </c>
      <c r="B4" s="6" t="n"/>
      <c r="C4" s="6" t="n"/>
      <c r="D4" s="6" t="n"/>
      <c r="E4" s="6" t="inlineStr">
        <is>
          <t>D10A</t>
        </is>
      </c>
      <c r="F4" s="6" t="inlineStr">
        <is>
          <t>Information Technology</t>
        </is>
      </c>
      <c r="G4" s="6" t="n">
        <v>4</v>
      </c>
      <c r="H4" s="6" t="n">
        <v>5</v>
      </c>
      <c r="I4" s="6" t="n">
        <v>3</v>
      </c>
      <c r="J4" s="6" t="n">
        <v>4</v>
      </c>
      <c r="K4" s="6" t="n">
        <v>5</v>
      </c>
      <c r="L4" s="6" t="n">
        <v>2</v>
      </c>
    </row>
    <row r="5">
      <c r="A5" s="6" t="n">
        <v>4</v>
      </c>
      <c r="B5" s="6" t="n"/>
      <c r="C5" s="6" t="n"/>
      <c r="D5" s="6" t="n"/>
      <c r="E5" s="6" t="inlineStr">
        <is>
          <t>D10A</t>
        </is>
      </c>
      <c r="F5" s="6" t="inlineStr">
        <is>
          <t>Information Technology</t>
        </is>
      </c>
      <c r="G5" s="6" t="n">
        <v>4</v>
      </c>
      <c r="H5" s="6" t="n">
        <v>5</v>
      </c>
      <c r="I5" s="6" t="n">
        <v>3</v>
      </c>
      <c r="J5" s="6" t="n">
        <v>4</v>
      </c>
      <c r="K5" s="6" t="n">
        <v>5</v>
      </c>
      <c r="L5" s="6" t="n">
        <v>2</v>
      </c>
    </row>
    <row r="6">
      <c r="A6" s="6" t="n">
        <v>5</v>
      </c>
      <c r="B6" s="6" t="n"/>
      <c r="C6" s="6" t="n"/>
      <c r="D6" s="6" t="n"/>
      <c r="E6" s="6" t="inlineStr">
        <is>
          <t>D10A</t>
        </is>
      </c>
      <c r="F6" s="6" t="inlineStr">
        <is>
          <t>Information Technology</t>
        </is>
      </c>
      <c r="G6" s="6" t="n">
        <v>4</v>
      </c>
      <c r="H6" s="6" t="n">
        <v>5</v>
      </c>
      <c r="I6" s="6" t="n">
        <v>3</v>
      </c>
      <c r="J6" s="6" t="n">
        <v>4</v>
      </c>
      <c r="K6" s="6" t="n">
        <v>5</v>
      </c>
      <c r="L6" s="6" t="n">
        <v>2</v>
      </c>
    </row>
    <row r="7">
      <c r="A7" s="6" t="n">
        <v>6</v>
      </c>
      <c r="B7" s="6" t="n"/>
      <c r="C7" s="6" t="n"/>
      <c r="D7" s="6" t="n"/>
      <c r="E7" s="6" t="inlineStr">
        <is>
          <t>D10A</t>
        </is>
      </c>
      <c r="F7" s="6" t="inlineStr">
        <is>
          <t>Information Technology</t>
        </is>
      </c>
      <c r="G7" s="6" t="n">
        <v>4</v>
      </c>
      <c r="H7" s="6" t="n">
        <v>5</v>
      </c>
      <c r="I7" s="6" t="n">
        <v>3</v>
      </c>
      <c r="J7" s="6" t="n">
        <v>4</v>
      </c>
      <c r="K7" s="6" t="n">
        <v>5</v>
      </c>
      <c r="L7" s="6" t="n">
        <v>2</v>
      </c>
    </row>
    <row r="8">
      <c r="A8" s="6" t="n">
        <v>7</v>
      </c>
      <c r="B8" s="6" t="n"/>
      <c r="C8" s="6" t="n"/>
      <c r="D8" s="6" t="n"/>
      <c r="E8" s="6" t="inlineStr">
        <is>
          <t>D10A</t>
        </is>
      </c>
      <c r="F8" s="6" t="inlineStr">
        <is>
          <t>Information Technology</t>
        </is>
      </c>
      <c r="G8" s="6" t="n">
        <v>4</v>
      </c>
      <c r="H8" s="6" t="n">
        <v>5</v>
      </c>
      <c r="I8" s="6" t="n">
        <v>3</v>
      </c>
      <c r="J8" s="6" t="n">
        <v>4</v>
      </c>
      <c r="K8" s="6" t="n">
        <v>5</v>
      </c>
      <c r="L8" s="6" t="n">
        <v>2</v>
      </c>
    </row>
    <row r="9">
      <c r="A9" s="6" t="n">
        <v>8</v>
      </c>
      <c r="B9" s="6" t="n"/>
      <c r="C9" s="6" t="n"/>
      <c r="D9" s="6" t="n"/>
      <c r="E9" s="6" t="inlineStr">
        <is>
          <t>D10A</t>
        </is>
      </c>
      <c r="F9" s="6" t="inlineStr">
        <is>
          <t>Information Technology</t>
        </is>
      </c>
      <c r="G9" s="6" t="n">
        <v>4</v>
      </c>
      <c r="H9" s="6" t="n">
        <v>5</v>
      </c>
      <c r="I9" s="6" t="n">
        <v>3</v>
      </c>
      <c r="J9" s="6" t="n">
        <v>4</v>
      </c>
      <c r="K9" s="6" t="n">
        <v>5</v>
      </c>
      <c r="L9" s="6" t="n">
        <v>2</v>
      </c>
    </row>
    <row r="10">
      <c r="A10" s="6" t="n">
        <v>9</v>
      </c>
      <c r="B10" s="6" t="n"/>
      <c r="C10" s="6" t="n"/>
      <c r="D10" s="6" t="n"/>
      <c r="E10" s="6" t="inlineStr">
        <is>
          <t>D10A</t>
        </is>
      </c>
      <c r="F10" s="6" t="inlineStr">
        <is>
          <t>Information Technology</t>
        </is>
      </c>
      <c r="G10" s="6" t="n">
        <v>4</v>
      </c>
      <c r="H10" s="6" t="n">
        <v>5</v>
      </c>
      <c r="I10" s="6" t="n">
        <v>3</v>
      </c>
      <c r="J10" s="6" t="n">
        <v>4</v>
      </c>
      <c r="K10" s="6" t="n">
        <v>5</v>
      </c>
      <c r="L10" s="6" t="n">
        <v>2</v>
      </c>
    </row>
    <row r="11">
      <c r="A11" s="6" t="n">
        <v>10</v>
      </c>
      <c r="B11" s="6" t="n"/>
      <c r="C11" s="6" t="n"/>
      <c r="D11" s="6" t="n"/>
      <c r="E11" s="6" t="inlineStr">
        <is>
          <t>D10A</t>
        </is>
      </c>
      <c r="F11" s="6" t="inlineStr">
        <is>
          <t>Information Technology</t>
        </is>
      </c>
      <c r="G11" s="6" t="n">
        <v>4</v>
      </c>
      <c r="H11" s="6" t="n">
        <v>5</v>
      </c>
      <c r="I11" s="6" t="n">
        <v>3</v>
      </c>
      <c r="J11" s="6" t="n">
        <v>4</v>
      </c>
      <c r="K11" s="6" t="n">
        <v>5</v>
      </c>
      <c r="L11" s="6" t="n">
        <v>2</v>
      </c>
    </row>
    <row r="12">
      <c r="A12" s="6" t="n">
        <v>11</v>
      </c>
      <c r="B12" s="6" t="n"/>
      <c r="C12" s="6" t="n"/>
      <c r="D12" s="6" t="n"/>
      <c r="E12" s="6" t="inlineStr">
        <is>
          <t>D10A</t>
        </is>
      </c>
      <c r="F12" s="6" t="inlineStr">
        <is>
          <t>Information Technology</t>
        </is>
      </c>
      <c r="G12" s="6" t="n">
        <v>4</v>
      </c>
      <c r="H12" s="6" t="n">
        <v>5</v>
      </c>
      <c r="I12" s="6" t="n">
        <v>3</v>
      </c>
      <c r="J12" s="6" t="n">
        <v>4</v>
      </c>
      <c r="K12" s="6" t="n">
        <v>5</v>
      </c>
      <c r="L12" s="6" t="n">
        <v>2</v>
      </c>
    </row>
    <row r="13">
      <c r="A13" s="6" t="n">
        <v>12</v>
      </c>
      <c r="B13" s="6" t="n"/>
      <c r="C13" s="6" t="n"/>
      <c r="D13" s="6" t="n"/>
      <c r="E13" s="6" t="inlineStr">
        <is>
          <t>D10A</t>
        </is>
      </c>
      <c r="F13" s="6" t="inlineStr">
        <is>
          <t>Information Technology</t>
        </is>
      </c>
      <c r="G13" s="6" t="n">
        <v>4</v>
      </c>
      <c r="H13" s="6" t="n">
        <v>5</v>
      </c>
      <c r="I13" s="6" t="n">
        <v>3</v>
      </c>
      <c r="J13" s="6" t="n">
        <v>4</v>
      </c>
      <c r="K13" s="6" t="n">
        <v>5</v>
      </c>
      <c r="L13" s="6" t="n">
        <v>2</v>
      </c>
    </row>
    <row r="14">
      <c r="A14" s="6" t="n">
        <v>13</v>
      </c>
      <c r="B14" s="6" t="n"/>
      <c r="C14" s="6" t="n"/>
      <c r="D14" s="6" t="n"/>
      <c r="E14" s="6" t="inlineStr">
        <is>
          <t>D10A</t>
        </is>
      </c>
      <c r="F14" s="6" t="inlineStr">
        <is>
          <t>Information Technology</t>
        </is>
      </c>
      <c r="G14" s="6" t="n">
        <v>4</v>
      </c>
      <c r="H14" s="6" t="n">
        <v>5</v>
      </c>
      <c r="I14" s="6" t="n">
        <v>3</v>
      </c>
      <c r="J14" s="6" t="n">
        <v>4</v>
      </c>
      <c r="K14" s="6" t="n">
        <v>5</v>
      </c>
      <c r="L14" s="6" t="n">
        <v>2</v>
      </c>
    </row>
    <row r="15">
      <c r="A15" s="6" t="n">
        <v>14</v>
      </c>
      <c r="B15" s="6" t="n"/>
      <c r="C15" s="6" t="n"/>
      <c r="D15" s="6" t="n"/>
      <c r="E15" s="6" t="inlineStr">
        <is>
          <t>D10A</t>
        </is>
      </c>
      <c r="F15" s="6" t="inlineStr">
        <is>
          <t>Information Technology</t>
        </is>
      </c>
      <c r="G15" s="6" t="n">
        <v>4</v>
      </c>
      <c r="H15" s="6" t="n">
        <v>5</v>
      </c>
      <c r="I15" s="6" t="n">
        <v>3</v>
      </c>
      <c r="J15" s="6" t="n">
        <v>4</v>
      </c>
      <c r="K15" s="6" t="n">
        <v>5</v>
      </c>
      <c r="L15" s="6" t="n">
        <v>2</v>
      </c>
    </row>
    <row r="16">
      <c r="A16" s="6" t="n">
        <v>15</v>
      </c>
      <c r="B16" s="6" t="n"/>
      <c r="C16" s="6" t="n"/>
      <c r="D16" s="6" t="n"/>
      <c r="E16" s="6" t="inlineStr">
        <is>
          <t>D10A</t>
        </is>
      </c>
      <c r="F16" s="6" t="inlineStr">
        <is>
          <t>Information Technology</t>
        </is>
      </c>
      <c r="G16" s="6" t="n">
        <v>4</v>
      </c>
      <c r="H16" s="6" t="n">
        <v>5</v>
      </c>
      <c r="I16" s="6" t="n">
        <v>3</v>
      </c>
      <c r="J16" s="6" t="n">
        <v>4</v>
      </c>
      <c r="K16" s="6" t="n">
        <v>5</v>
      </c>
      <c r="L16" s="6" t="n">
        <v>2</v>
      </c>
    </row>
    <row r="17">
      <c r="A17" s="6" t="n">
        <v>16</v>
      </c>
      <c r="B17" s="6" t="n"/>
      <c r="C17" s="6" t="n"/>
      <c r="D17" s="6" t="n"/>
      <c r="E17" s="6" t="inlineStr">
        <is>
          <t>D10A</t>
        </is>
      </c>
      <c r="F17" s="6" t="inlineStr">
        <is>
          <t>Information Technology</t>
        </is>
      </c>
      <c r="G17" s="6" t="n">
        <v>4</v>
      </c>
      <c r="H17" s="6" t="n">
        <v>5</v>
      </c>
      <c r="I17" s="6" t="n">
        <v>3</v>
      </c>
      <c r="J17" s="6" t="n">
        <v>4</v>
      </c>
      <c r="K17" s="6" t="n">
        <v>5</v>
      </c>
      <c r="L17" s="6" t="n">
        <v>2</v>
      </c>
    </row>
    <row r="18">
      <c r="A18" s="6" t="n">
        <v>17</v>
      </c>
      <c r="B18" s="6" t="n"/>
      <c r="C18" s="6" t="n"/>
      <c r="D18" s="6" t="n"/>
      <c r="E18" s="6" t="inlineStr">
        <is>
          <t>D10A</t>
        </is>
      </c>
      <c r="F18" s="6" t="inlineStr">
        <is>
          <t>Information Technology</t>
        </is>
      </c>
      <c r="G18" s="6" t="n">
        <v>4</v>
      </c>
      <c r="H18" s="6" t="n">
        <v>5</v>
      </c>
      <c r="I18" s="6" t="n">
        <v>3</v>
      </c>
      <c r="J18" s="6" t="n">
        <v>4</v>
      </c>
      <c r="K18" s="6" t="n">
        <v>5</v>
      </c>
      <c r="L18" s="6" t="n">
        <v>2</v>
      </c>
    </row>
    <row r="19">
      <c r="A19" s="6" t="n">
        <v>18</v>
      </c>
      <c r="B19" s="6" t="n"/>
      <c r="C19" s="6" t="n"/>
      <c r="D19" s="6" t="n"/>
      <c r="E19" s="6" t="inlineStr">
        <is>
          <t>D10A</t>
        </is>
      </c>
      <c r="F19" s="6" t="inlineStr">
        <is>
          <t>Information Technology</t>
        </is>
      </c>
      <c r="G19" s="6" t="n">
        <v>4</v>
      </c>
      <c r="H19" s="6" t="n">
        <v>5</v>
      </c>
      <c r="I19" s="6" t="n">
        <v>3</v>
      </c>
      <c r="J19" s="6" t="n">
        <v>4</v>
      </c>
      <c r="K19" s="6" t="n">
        <v>5</v>
      </c>
      <c r="L19" s="6" t="n">
        <v>2</v>
      </c>
    </row>
    <row r="20">
      <c r="A20" s="6" t="n">
        <v>19</v>
      </c>
      <c r="B20" s="6" t="n"/>
      <c r="C20" s="6" t="n"/>
      <c r="D20" s="6" t="n"/>
      <c r="E20" s="6" t="inlineStr">
        <is>
          <t>D10A</t>
        </is>
      </c>
      <c r="F20" s="6" t="inlineStr">
        <is>
          <t>Information Technology</t>
        </is>
      </c>
      <c r="G20" s="6" t="n">
        <v>4</v>
      </c>
      <c r="H20" s="6" t="n">
        <v>5</v>
      </c>
      <c r="I20" s="6" t="n">
        <v>3</v>
      </c>
      <c r="J20" s="6" t="n">
        <v>4</v>
      </c>
      <c r="K20" s="6" t="n">
        <v>5</v>
      </c>
      <c r="L20" s="6" t="n">
        <v>2</v>
      </c>
    </row>
    <row r="21">
      <c r="A21" s="6" t="n">
        <v>20</v>
      </c>
      <c r="B21" s="6" t="n"/>
      <c r="C21" s="6" t="n"/>
      <c r="D21" s="6" t="n"/>
      <c r="E21" s="6" t="inlineStr">
        <is>
          <t>D10A</t>
        </is>
      </c>
      <c r="F21" s="6" t="inlineStr">
        <is>
          <t>Information Technology</t>
        </is>
      </c>
      <c r="G21" s="6" t="n">
        <v>4</v>
      </c>
      <c r="H21" s="6" t="n">
        <v>5</v>
      </c>
      <c r="I21" s="6" t="n">
        <v>3</v>
      </c>
      <c r="J21" s="6" t="n">
        <v>4</v>
      </c>
      <c r="K21" s="6" t="n">
        <v>5</v>
      </c>
      <c r="L21" s="6" t="n">
        <v>2</v>
      </c>
    </row>
    <row r="22">
      <c r="A22" s="6" t="n">
        <v>21</v>
      </c>
      <c r="B22" s="6" t="n"/>
      <c r="C22" s="6" t="n"/>
      <c r="D22" s="6" t="n"/>
      <c r="E22" s="6" t="inlineStr">
        <is>
          <t>D10A</t>
        </is>
      </c>
      <c r="F22" s="6" t="inlineStr">
        <is>
          <t>Information Technology</t>
        </is>
      </c>
      <c r="G22" s="6" t="n">
        <v>4</v>
      </c>
      <c r="H22" s="6" t="n">
        <v>5</v>
      </c>
      <c r="I22" s="6" t="n">
        <v>3</v>
      </c>
      <c r="J22" s="6" t="n">
        <v>4</v>
      </c>
      <c r="K22" s="6" t="n">
        <v>5</v>
      </c>
      <c r="L22" s="6" t="n">
        <v>2</v>
      </c>
    </row>
    <row r="23">
      <c r="A23" s="6" t="n">
        <v>22</v>
      </c>
      <c r="B23" s="6" t="n"/>
      <c r="C23" s="6" t="n"/>
      <c r="D23" s="6" t="n"/>
      <c r="E23" s="6" t="inlineStr">
        <is>
          <t>D10A</t>
        </is>
      </c>
      <c r="F23" s="6" t="inlineStr">
        <is>
          <t>Information Technology</t>
        </is>
      </c>
      <c r="G23" s="6" t="n">
        <v>4</v>
      </c>
      <c r="H23" s="6" t="n">
        <v>5</v>
      </c>
      <c r="I23" s="6" t="n">
        <v>3</v>
      </c>
      <c r="J23" s="6" t="n">
        <v>4</v>
      </c>
      <c r="K23" s="6" t="n">
        <v>5</v>
      </c>
      <c r="L23" s="6" t="n">
        <v>2</v>
      </c>
    </row>
    <row r="24">
      <c r="A24" s="6" t="n">
        <v>23</v>
      </c>
      <c r="B24" s="6" t="n"/>
      <c r="C24" s="6" t="n"/>
      <c r="D24" s="6" t="n"/>
      <c r="E24" s="6" t="inlineStr">
        <is>
          <t>D10A</t>
        </is>
      </c>
      <c r="F24" s="6" t="inlineStr">
        <is>
          <t>Information Technology</t>
        </is>
      </c>
      <c r="G24" s="6" t="n">
        <v>4</v>
      </c>
      <c r="H24" s="6" t="n">
        <v>5</v>
      </c>
      <c r="I24" s="6" t="n">
        <v>3</v>
      </c>
      <c r="J24" s="6" t="n">
        <v>4</v>
      </c>
      <c r="K24" s="6" t="n">
        <v>5</v>
      </c>
      <c r="L24" s="6" t="n">
        <v>2</v>
      </c>
    </row>
    <row r="25">
      <c r="A25" s="6" t="n">
        <v>24</v>
      </c>
      <c r="B25" s="6" t="n"/>
      <c r="C25" s="6" t="n"/>
      <c r="D25" s="6" t="n"/>
      <c r="E25" s="6" t="inlineStr">
        <is>
          <t>D10A</t>
        </is>
      </c>
      <c r="F25" s="6" t="inlineStr">
        <is>
          <t>Information Technology</t>
        </is>
      </c>
      <c r="G25" s="6" t="n">
        <v>4</v>
      </c>
      <c r="H25" s="6" t="n">
        <v>5</v>
      </c>
      <c r="I25" s="6" t="n">
        <v>3</v>
      </c>
      <c r="J25" s="6" t="n">
        <v>4</v>
      </c>
      <c r="K25" s="6" t="n">
        <v>5</v>
      </c>
      <c r="L25" s="6" t="n">
        <v>2</v>
      </c>
    </row>
    <row r="26">
      <c r="A26" s="6" t="n">
        <v>25</v>
      </c>
      <c r="B26" s="6" t="n"/>
      <c r="C26" s="6" t="n"/>
      <c r="D26" s="6" t="n"/>
      <c r="E26" s="6" t="inlineStr">
        <is>
          <t>D10A</t>
        </is>
      </c>
      <c r="F26" s="6" t="inlineStr">
        <is>
          <t>Information Technology</t>
        </is>
      </c>
      <c r="G26" s="6" t="n">
        <v>4</v>
      </c>
      <c r="H26" s="6" t="n">
        <v>5</v>
      </c>
      <c r="I26" s="6" t="n">
        <v>3</v>
      </c>
      <c r="J26" s="6" t="n">
        <v>4</v>
      </c>
      <c r="K26" s="6" t="n">
        <v>5</v>
      </c>
      <c r="L26" s="6" t="n">
        <v>2</v>
      </c>
    </row>
    <row r="27">
      <c r="A27" s="6" t="n">
        <v>26</v>
      </c>
      <c r="B27" s="6" t="n"/>
      <c r="C27" s="6" t="n"/>
      <c r="D27" s="6" t="n"/>
      <c r="E27" s="6" t="inlineStr">
        <is>
          <t>D10A</t>
        </is>
      </c>
      <c r="F27" s="6" t="inlineStr">
        <is>
          <t>Information Technology</t>
        </is>
      </c>
      <c r="G27" s="6" t="n">
        <v>4</v>
      </c>
      <c r="H27" s="6" t="n">
        <v>5</v>
      </c>
      <c r="I27" s="6" t="n">
        <v>3</v>
      </c>
      <c r="J27" s="6" t="n">
        <v>4</v>
      </c>
      <c r="K27" s="6" t="n">
        <v>5</v>
      </c>
      <c r="L27" s="6" t="n">
        <v>2</v>
      </c>
    </row>
    <row r="28">
      <c r="A28" s="6" t="n">
        <v>27</v>
      </c>
      <c r="B28" s="6" t="n"/>
      <c r="C28" s="6" t="n"/>
      <c r="D28" s="6" t="n"/>
      <c r="E28" s="6" t="inlineStr">
        <is>
          <t>D10A</t>
        </is>
      </c>
      <c r="F28" s="6" t="inlineStr">
        <is>
          <t>Information Technology</t>
        </is>
      </c>
      <c r="G28" s="6" t="n">
        <v>4</v>
      </c>
      <c r="H28" s="6" t="n">
        <v>5</v>
      </c>
      <c r="I28" s="6" t="n">
        <v>3</v>
      </c>
      <c r="J28" s="6" t="n">
        <v>4</v>
      </c>
      <c r="K28" s="6" t="n">
        <v>5</v>
      </c>
      <c r="L28" s="6" t="n">
        <v>2</v>
      </c>
    </row>
    <row r="29">
      <c r="A29" s="6" t="n">
        <v>28</v>
      </c>
      <c r="B29" s="6" t="n"/>
      <c r="C29" s="6" t="n"/>
      <c r="D29" s="6" t="n"/>
      <c r="E29" s="6" t="inlineStr">
        <is>
          <t>D10A</t>
        </is>
      </c>
      <c r="F29" s="6" t="inlineStr">
        <is>
          <t>Information Technology</t>
        </is>
      </c>
      <c r="G29" s="6" t="n">
        <v>4</v>
      </c>
      <c r="H29" s="6" t="n">
        <v>5</v>
      </c>
      <c r="I29" s="6" t="n">
        <v>3</v>
      </c>
      <c r="J29" s="6" t="n">
        <v>4</v>
      </c>
      <c r="K29" s="6" t="n">
        <v>5</v>
      </c>
      <c r="L29" s="6" t="n">
        <v>2</v>
      </c>
    </row>
    <row r="30">
      <c r="A30" s="6" t="n">
        <v>29</v>
      </c>
      <c r="B30" s="6" t="n"/>
      <c r="C30" s="6" t="n"/>
      <c r="D30" s="6" t="n"/>
      <c r="E30" s="6" t="inlineStr">
        <is>
          <t>D10A</t>
        </is>
      </c>
      <c r="F30" s="6" t="inlineStr">
        <is>
          <t>Information Technology</t>
        </is>
      </c>
      <c r="G30" s="6" t="n">
        <v>4</v>
      </c>
      <c r="H30" s="6" t="n">
        <v>5</v>
      </c>
      <c r="I30" s="6" t="n">
        <v>3</v>
      </c>
      <c r="J30" s="6" t="n">
        <v>4</v>
      </c>
      <c r="K30" s="6" t="n">
        <v>5</v>
      </c>
      <c r="L30" s="6" t="n">
        <v>2</v>
      </c>
    </row>
    <row r="31">
      <c r="A31" s="6" t="n">
        <v>30</v>
      </c>
      <c r="B31" s="6" t="n"/>
      <c r="C31" s="6" t="n"/>
      <c r="D31" s="6" t="n"/>
      <c r="E31" s="6" t="inlineStr">
        <is>
          <t>D10A</t>
        </is>
      </c>
      <c r="F31" s="6" t="inlineStr">
        <is>
          <t>Information Technology</t>
        </is>
      </c>
      <c r="G31" s="6" t="n">
        <v>4</v>
      </c>
      <c r="H31" s="6" t="n">
        <v>5</v>
      </c>
      <c r="I31" s="6" t="n">
        <v>3</v>
      </c>
      <c r="J31" s="6" t="n">
        <v>4</v>
      </c>
      <c r="K31" s="6" t="n">
        <v>5</v>
      </c>
      <c r="L31" s="6" t="n">
        <v>2</v>
      </c>
    </row>
    <row r="32">
      <c r="A32" s="6" t="n">
        <v>31</v>
      </c>
      <c r="B32" s="6" t="n"/>
      <c r="C32" s="6" t="n"/>
      <c r="D32" s="6" t="n"/>
      <c r="E32" s="6" t="inlineStr">
        <is>
          <t>D10A</t>
        </is>
      </c>
      <c r="F32" s="6" t="inlineStr">
        <is>
          <t>Information Technology</t>
        </is>
      </c>
      <c r="G32" s="6" t="n">
        <v>4</v>
      </c>
      <c r="H32" s="6" t="n">
        <v>5</v>
      </c>
      <c r="I32" s="6" t="n">
        <v>3</v>
      </c>
      <c r="J32" s="6" t="n">
        <v>4</v>
      </c>
      <c r="K32" s="6" t="n">
        <v>5</v>
      </c>
      <c r="L32" s="6" t="n">
        <v>2</v>
      </c>
    </row>
    <row r="33">
      <c r="A33" s="6" t="n">
        <v>32</v>
      </c>
      <c r="B33" s="6" t="n"/>
      <c r="C33" s="6" t="n"/>
      <c r="D33" s="6" t="n"/>
      <c r="E33" s="6" t="inlineStr">
        <is>
          <t>D10A</t>
        </is>
      </c>
      <c r="F33" s="6" t="inlineStr">
        <is>
          <t>Information Technology</t>
        </is>
      </c>
      <c r="G33" s="6" t="n">
        <v>4</v>
      </c>
      <c r="H33" s="6" t="n">
        <v>5</v>
      </c>
      <c r="I33" s="6" t="n">
        <v>3</v>
      </c>
      <c r="J33" s="6" t="n">
        <v>4</v>
      </c>
      <c r="K33" s="6" t="n">
        <v>5</v>
      </c>
      <c r="L33" s="6" t="n">
        <v>2</v>
      </c>
    </row>
    <row r="34">
      <c r="A34" s="6" t="n">
        <v>33</v>
      </c>
      <c r="B34" s="6" t="n"/>
      <c r="C34" s="6" t="n"/>
      <c r="D34" s="6" t="n"/>
      <c r="E34" s="6" t="inlineStr">
        <is>
          <t>D10A</t>
        </is>
      </c>
      <c r="F34" s="6" t="inlineStr">
        <is>
          <t>Information Technology</t>
        </is>
      </c>
      <c r="G34" s="6" t="n">
        <v>4</v>
      </c>
      <c r="H34" s="6" t="n">
        <v>5</v>
      </c>
      <c r="I34" s="6" t="n">
        <v>3</v>
      </c>
      <c r="J34" s="6" t="n">
        <v>4</v>
      </c>
      <c r="K34" s="6" t="n">
        <v>5</v>
      </c>
      <c r="L34" s="6" t="n">
        <v>2</v>
      </c>
    </row>
    <row r="35">
      <c r="A35" s="6" t="n">
        <v>34</v>
      </c>
      <c r="B35" s="6" t="n"/>
      <c r="C35" s="6" t="n"/>
      <c r="D35" s="6" t="n"/>
      <c r="E35" s="6" t="inlineStr">
        <is>
          <t>D10A</t>
        </is>
      </c>
      <c r="F35" s="6" t="inlineStr">
        <is>
          <t>Information Technology</t>
        </is>
      </c>
      <c r="G35" s="6" t="n">
        <v>4</v>
      </c>
      <c r="H35" s="6" t="n">
        <v>5</v>
      </c>
      <c r="I35" s="6" t="n">
        <v>3</v>
      </c>
      <c r="J35" s="6" t="n">
        <v>4</v>
      </c>
      <c r="K35" s="6" t="n">
        <v>5</v>
      </c>
      <c r="L35" s="6" t="n">
        <v>2</v>
      </c>
    </row>
    <row r="36">
      <c r="A36" s="6" t="n">
        <v>35</v>
      </c>
      <c r="B36" s="6" t="n"/>
      <c r="C36" s="6" t="n"/>
      <c r="D36" s="6" t="n"/>
      <c r="E36" s="6" t="inlineStr">
        <is>
          <t>D10A</t>
        </is>
      </c>
      <c r="F36" s="6" t="inlineStr">
        <is>
          <t>Information Technology</t>
        </is>
      </c>
      <c r="G36" s="6" t="n">
        <v>4</v>
      </c>
      <c r="H36" s="6" t="n">
        <v>5</v>
      </c>
      <c r="I36" s="6" t="n">
        <v>3</v>
      </c>
      <c r="J36" s="6" t="n">
        <v>4</v>
      </c>
      <c r="K36" s="6" t="n">
        <v>5</v>
      </c>
      <c r="L36" s="6" t="n">
        <v>2</v>
      </c>
    </row>
    <row r="37">
      <c r="A37" s="6" t="n">
        <v>36</v>
      </c>
      <c r="B37" s="6" t="n"/>
      <c r="C37" s="6" t="n"/>
      <c r="D37" s="6" t="n"/>
      <c r="E37" s="6" t="inlineStr">
        <is>
          <t>D10A</t>
        </is>
      </c>
      <c r="F37" s="6" t="inlineStr">
        <is>
          <t>Information Technology</t>
        </is>
      </c>
      <c r="G37" s="6" t="n">
        <v>4</v>
      </c>
      <c r="H37" s="6" t="n">
        <v>5</v>
      </c>
      <c r="I37" s="6" t="n">
        <v>3</v>
      </c>
      <c r="J37" s="6" t="n">
        <v>4</v>
      </c>
      <c r="K37" s="6" t="n">
        <v>5</v>
      </c>
      <c r="L37" s="6" t="n">
        <v>2</v>
      </c>
    </row>
    <row r="38">
      <c r="A38" s="6" t="n">
        <v>37</v>
      </c>
      <c r="B38" s="6" t="n"/>
      <c r="C38" s="6" t="n"/>
      <c r="D38" s="6" t="n"/>
      <c r="E38" s="6" t="inlineStr">
        <is>
          <t>D10A</t>
        </is>
      </c>
      <c r="F38" s="6" t="inlineStr">
        <is>
          <t>Information Technology</t>
        </is>
      </c>
      <c r="G38" s="6" t="n">
        <v>4</v>
      </c>
      <c r="H38" s="6" t="n">
        <v>5</v>
      </c>
      <c r="I38" s="6" t="n">
        <v>3</v>
      </c>
      <c r="J38" s="6" t="n">
        <v>4</v>
      </c>
      <c r="K38" s="6" t="n">
        <v>5</v>
      </c>
      <c r="L38" s="6" t="n">
        <v>2</v>
      </c>
    </row>
    <row r="39">
      <c r="A39" s="6" t="n">
        <v>38</v>
      </c>
      <c r="B39" s="6" t="n"/>
      <c r="C39" s="6" t="n"/>
      <c r="D39" s="6" t="n"/>
      <c r="E39" s="6" t="inlineStr">
        <is>
          <t>D10A</t>
        </is>
      </c>
      <c r="F39" s="6" t="inlineStr">
        <is>
          <t>Information Technology</t>
        </is>
      </c>
      <c r="G39" s="6" t="n">
        <v>4</v>
      </c>
      <c r="H39" s="6" t="n">
        <v>5</v>
      </c>
      <c r="I39" s="6" t="n">
        <v>3</v>
      </c>
      <c r="J39" s="6" t="n">
        <v>4</v>
      </c>
      <c r="K39" s="6" t="n">
        <v>5</v>
      </c>
      <c r="L39" s="6" t="n">
        <v>2</v>
      </c>
    </row>
    <row r="40">
      <c r="A40" s="6" t="n">
        <v>39</v>
      </c>
      <c r="B40" s="6" t="n"/>
      <c r="C40" s="6" t="n"/>
      <c r="D40" s="6" t="n"/>
      <c r="E40" s="6" t="inlineStr">
        <is>
          <t>D10A</t>
        </is>
      </c>
      <c r="F40" s="6" t="inlineStr">
        <is>
          <t>Information Technology</t>
        </is>
      </c>
      <c r="G40" s="6" t="n">
        <v>4</v>
      </c>
      <c r="H40" s="6" t="n">
        <v>5</v>
      </c>
      <c r="I40" s="6" t="n">
        <v>3</v>
      </c>
      <c r="J40" s="6" t="n">
        <v>4</v>
      </c>
      <c r="K40" s="6" t="n">
        <v>5</v>
      </c>
      <c r="L40" s="6" t="n">
        <v>2</v>
      </c>
    </row>
    <row r="41">
      <c r="A41" s="6" t="n">
        <v>40</v>
      </c>
      <c r="B41" s="6" t="n"/>
      <c r="C41" s="6" t="n"/>
      <c r="D41" s="6" t="n"/>
      <c r="E41" s="6" t="inlineStr">
        <is>
          <t>D10A</t>
        </is>
      </c>
      <c r="F41" s="6" t="inlineStr">
        <is>
          <t>Information Technology</t>
        </is>
      </c>
      <c r="G41" s="6" t="n">
        <v>4</v>
      </c>
      <c r="H41" s="6" t="n">
        <v>5</v>
      </c>
      <c r="I41" s="6" t="n">
        <v>3</v>
      </c>
      <c r="J41" s="6" t="n">
        <v>4</v>
      </c>
      <c r="K41" s="6" t="n">
        <v>5</v>
      </c>
      <c r="L41" s="6" t="n">
        <v>2</v>
      </c>
    </row>
    <row r="42">
      <c r="A42" s="6" t="n">
        <v>41</v>
      </c>
      <c r="B42" s="6" t="n"/>
      <c r="C42" s="6" t="n"/>
      <c r="D42" s="6" t="n"/>
      <c r="E42" s="6" t="inlineStr">
        <is>
          <t>D10A</t>
        </is>
      </c>
      <c r="F42" s="6" t="inlineStr">
        <is>
          <t>Information Technology</t>
        </is>
      </c>
      <c r="G42" s="6" t="n">
        <v>4</v>
      </c>
      <c r="H42" s="6" t="n">
        <v>5</v>
      </c>
      <c r="I42" s="6" t="n">
        <v>3</v>
      </c>
      <c r="J42" s="6" t="n">
        <v>4</v>
      </c>
      <c r="K42" s="6" t="n">
        <v>5</v>
      </c>
      <c r="L42" s="6" t="n">
        <v>2</v>
      </c>
    </row>
    <row r="43">
      <c r="A43" s="6" t="n">
        <v>42</v>
      </c>
      <c r="B43" s="6" t="n"/>
      <c r="C43" s="6" t="n"/>
      <c r="D43" s="6" t="n"/>
      <c r="E43" s="6" t="inlineStr">
        <is>
          <t>D10A</t>
        </is>
      </c>
      <c r="F43" s="6" t="inlineStr">
        <is>
          <t>Information Technology</t>
        </is>
      </c>
      <c r="G43" s="6" t="n">
        <v>4</v>
      </c>
      <c r="H43" s="6" t="n">
        <v>5</v>
      </c>
      <c r="I43" s="6" t="n">
        <v>3</v>
      </c>
      <c r="J43" s="6" t="n">
        <v>4</v>
      </c>
      <c r="K43" s="6" t="n">
        <v>5</v>
      </c>
      <c r="L43" s="6" t="n">
        <v>2</v>
      </c>
    </row>
    <row r="44">
      <c r="A44" s="6" t="n">
        <v>43</v>
      </c>
      <c r="B44" s="6" t="n"/>
      <c r="C44" s="6" t="n"/>
      <c r="D44" s="6" t="n"/>
      <c r="E44" s="6" t="inlineStr">
        <is>
          <t>D10A</t>
        </is>
      </c>
      <c r="F44" s="6" t="inlineStr">
        <is>
          <t>Information Technology</t>
        </is>
      </c>
      <c r="G44" s="6" t="n">
        <v>4</v>
      </c>
      <c r="H44" s="6" t="n">
        <v>5</v>
      </c>
      <c r="I44" s="6" t="n">
        <v>3</v>
      </c>
      <c r="J44" s="6" t="n">
        <v>4</v>
      </c>
      <c r="K44" s="6" t="n">
        <v>5</v>
      </c>
      <c r="L44" s="6" t="n">
        <v>2</v>
      </c>
    </row>
    <row r="45">
      <c r="A45" s="6" t="n">
        <v>44</v>
      </c>
      <c r="B45" s="6" t="n"/>
      <c r="C45" s="6" t="n"/>
      <c r="D45" s="6" t="n"/>
      <c r="E45" s="6" t="inlineStr">
        <is>
          <t>D10A</t>
        </is>
      </c>
      <c r="F45" s="6" t="inlineStr">
        <is>
          <t>Information Technology</t>
        </is>
      </c>
      <c r="G45" s="6" t="n">
        <v>4</v>
      </c>
      <c r="H45" s="6" t="n">
        <v>5</v>
      </c>
      <c r="I45" s="6" t="n">
        <v>3</v>
      </c>
      <c r="J45" s="6" t="n">
        <v>4</v>
      </c>
      <c r="K45" s="6" t="n">
        <v>5</v>
      </c>
      <c r="L45" s="6" t="n">
        <v>2</v>
      </c>
    </row>
    <row r="46">
      <c r="A46" s="6" t="n">
        <v>45</v>
      </c>
      <c r="B46" s="6" t="n"/>
      <c r="C46" s="6" t="n"/>
      <c r="D46" s="6" t="n"/>
      <c r="E46" s="6" t="inlineStr">
        <is>
          <t>D10A</t>
        </is>
      </c>
      <c r="F46" s="6" t="inlineStr">
        <is>
          <t>Information Technology</t>
        </is>
      </c>
      <c r="G46" s="6" t="n">
        <v>4</v>
      </c>
      <c r="H46" s="6" t="n">
        <v>5</v>
      </c>
      <c r="I46" s="6" t="n">
        <v>3</v>
      </c>
      <c r="J46" s="6" t="n">
        <v>4</v>
      </c>
      <c r="K46" s="6" t="n">
        <v>5</v>
      </c>
      <c r="L46" s="6" t="n">
        <v>2</v>
      </c>
    </row>
    <row r="47">
      <c r="A47" s="6" t="n">
        <v>46</v>
      </c>
      <c r="B47" s="6" t="n"/>
      <c r="C47" s="6" t="n"/>
      <c r="D47" s="6" t="n"/>
      <c r="E47" s="6" t="inlineStr">
        <is>
          <t>D10A</t>
        </is>
      </c>
      <c r="F47" s="6" t="inlineStr">
        <is>
          <t>Information Technology</t>
        </is>
      </c>
      <c r="G47" s="6" t="n">
        <v>4</v>
      </c>
      <c r="H47" s="6" t="n">
        <v>5</v>
      </c>
      <c r="I47" s="6" t="n">
        <v>3</v>
      </c>
      <c r="J47" s="6" t="n">
        <v>4</v>
      </c>
      <c r="K47" s="6" t="n">
        <v>5</v>
      </c>
      <c r="L47" s="6" t="n">
        <v>2</v>
      </c>
    </row>
    <row r="48">
      <c r="A48" s="6" t="n">
        <v>47</v>
      </c>
      <c r="B48" s="6" t="n"/>
      <c r="C48" s="6" t="n"/>
      <c r="D48" s="6" t="n"/>
      <c r="E48" s="6" t="inlineStr">
        <is>
          <t>D10A</t>
        </is>
      </c>
      <c r="F48" s="6" t="inlineStr">
        <is>
          <t>Information Technology</t>
        </is>
      </c>
      <c r="G48" s="6" t="n">
        <v>4</v>
      </c>
      <c r="H48" s="6" t="n">
        <v>5</v>
      </c>
      <c r="I48" s="6" t="n">
        <v>3</v>
      </c>
      <c r="J48" s="6" t="n">
        <v>4</v>
      </c>
      <c r="K48" s="6" t="n">
        <v>5</v>
      </c>
      <c r="L48" s="6" t="n">
        <v>2</v>
      </c>
    </row>
    <row r="49">
      <c r="A49" s="6" t="n">
        <v>48</v>
      </c>
      <c r="B49" s="6" t="n"/>
      <c r="C49" s="6" t="n"/>
      <c r="D49" s="6" t="n"/>
      <c r="E49" s="6" t="inlineStr">
        <is>
          <t>D10A</t>
        </is>
      </c>
      <c r="F49" s="6" t="inlineStr">
        <is>
          <t>Information Technology</t>
        </is>
      </c>
      <c r="G49" s="6" t="n">
        <v>4</v>
      </c>
      <c r="H49" s="6" t="n">
        <v>5</v>
      </c>
      <c r="I49" s="6" t="n">
        <v>3</v>
      </c>
      <c r="J49" s="6" t="n">
        <v>4</v>
      </c>
      <c r="K49" s="6" t="n">
        <v>5</v>
      </c>
      <c r="L49" s="6" t="n">
        <v>2</v>
      </c>
    </row>
    <row r="50">
      <c r="A50" s="6" t="n">
        <v>49</v>
      </c>
      <c r="B50" s="6" t="n"/>
      <c r="C50" s="6" t="n"/>
      <c r="D50" s="6" t="n"/>
      <c r="E50" s="6" t="inlineStr">
        <is>
          <t>D10A</t>
        </is>
      </c>
      <c r="F50" s="6" t="inlineStr">
        <is>
          <t>Information Technology</t>
        </is>
      </c>
      <c r="G50" s="6" t="n">
        <v>4</v>
      </c>
      <c r="H50" s="6" t="n">
        <v>5</v>
      </c>
      <c r="I50" s="6" t="n">
        <v>3</v>
      </c>
      <c r="J50" s="6" t="n">
        <v>4</v>
      </c>
      <c r="K50" s="6" t="n">
        <v>5</v>
      </c>
      <c r="L50" s="6" t="n">
        <v>2</v>
      </c>
    </row>
    <row r="51">
      <c r="A51" s="6" t="n">
        <v>50</v>
      </c>
      <c r="B51" s="6" t="n"/>
      <c r="C51" s="6" t="n"/>
      <c r="D51" s="6" t="n"/>
      <c r="E51" s="6" t="inlineStr">
        <is>
          <t>D10A</t>
        </is>
      </c>
      <c r="F51" s="6" t="inlineStr">
        <is>
          <t>Information Technology</t>
        </is>
      </c>
      <c r="G51" s="6" t="n">
        <v>4</v>
      </c>
      <c r="H51" s="6" t="n">
        <v>5</v>
      </c>
      <c r="I51" s="6" t="n">
        <v>3</v>
      </c>
      <c r="J51" s="6" t="n">
        <v>4</v>
      </c>
      <c r="K51" s="6" t="n">
        <v>5</v>
      </c>
      <c r="L51" s="6" t="n">
        <v>2</v>
      </c>
    </row>
    <row r="52">
      <c r="A52" s="6" t="n">
        <v>51</v>
      </c>
      <c r="B52" s="6" t="n"/>
      <c r="C52" s="6" t="n"/>
      <c r="D52" s="6" t="n"/>
      <c r="E52" s="6" t="inlineStr">
        <is>
          <t>D10A</t>
        </is>
      </c>
      <c r="F52" s="6" t="inlineStr">
        <is>
          <t>Information Technology</t>
        </is>
      </c>
      <c r="G52" s="6" t="n">
        <v>4</v>
      </c>
      <c r="H52" s="6" t="n">
        <v>5</v>
      </c>
      <c r="I52" s="6" t="n">
        <v>3</v>
      </c>
      <c r="J52" s="6" t="n">
        <v>4</v>
      </c>
      <c r="K52" s="6" t="n">
        <v>5</v>
      </c>
      <c r="L52" s="6" t="n">
        <v>2</v>
      </c>
    </row>
    <row r="53">
      <c r="A53" s="6" t="n">
        <v>52</v>
      </c>
      <c r="B53" s="6" t="n"/>
      <c r="C53" s="6" t="n"/>
      <c r="D53" s="6" t="n"/>
      <c r="E53" s="6" t="inlineStr">
        <is>
          <t>D10A</t>
        </is>
      </c>
      <c r="F53" s="6" t="inlineStr">
        <is>
          <t>Information Technology</t>
        </is>
      </c>
      <c r="G53" s="6" t="n">
        <v>4</v>
      </c>
      <c r="H53" s="6" t="n">
        <v>5</v>
      </c>
      <c r="I53" s="6" t="n">
        <v>3</v>
      </c>
      <c r="J53" s="6" t="n">
        <v>4</v>
      </c>
      <c r="K53" s="6" t="n">
        <v>5</v>
      </c>
      <c r="L53" s="6" t="n">
        <v>2</v>
      </c>
    </row>
    <row r="54">
      <c r="A54" s="6" t="n">
        <v>53</v>
      </c>
      <c r="B54" s="6" t="n"/>
      <c r="C54" s="6" t="n"/>
      <c r="D54" s="6" t="n"/>
      <c r="E54" s="6" t="inlineStr">
        <is>
          <t>D10A</t>
        </is>
      </c>
      <c r="F54" s="6" t="inlineStr">
        <is>
          <t>Information Technology</t>
        </is>
      </c>
      <c r="G54" s="6" t="n">
        <v>4</v>
      </c>
      <c r="H54" s="6" t="n">
        <v>5</v>
      </c>
      <c r="I54" s="6" t="n">
        <v>3</v>
      </c>
      <c r="J54" s="6" t="n">
        <v>4</v>
      </c>
      <c r="K54" s="6" t="n">
        <v>5</v>
      </c>
      <c r="L54" s="6" t="n">
        <v>2</v>
      </c>
    </row>
    <row r="55">
      <c r="A55" s="6" t="n">
        <v>54</v>
      </c>
      <c r="B55" s="6" t="n"/>
      <c r="C55" s="6" t="n"/>
      <c r="D55" s="6" t="n"/>
      <c r="E55" s="6" t="inlineStr">
        <is>
          <t>D10A</t>
        </is>
      </c>
      <c r="F55" s="6" t="inlineStr">
        <is>
          <t>Information Technology</t>
        </is>
      </c>
      <c r="G55" s="6" t="n">
        <v>4</v>
      </c>
      <c r="H55" s="6" t="n">
        <v>5</v>
      </c>
      <c r="I55" s="6" t="n">
        <v>3</v>
      </c>
      <c r="J55" s="6" t="n">
        <v>4</v>
      </c>
      <c r="K55" s="6" t="n">
        <v>5</v>
      </c>
      <c r="L55" s="6" t="n">
        <v>2</v>
      </c>
    </row>
    <row r="56">
      <c r="A56" s="6" t="n">
        <v>55</v>
      </c>
      <c r="B56" s="6" t="n"/>
      <c r="C56" s="6" t="n"/>
      <c r="D56" s="6" t="n"/>
      <c r="E56" s="6" t="inlineStr">
        <is>
          <t>D10A</t>
        </is>
      </c>
      <c r="F56" s="6" t="inlineStr">
        <is>
          <t>Information Technology</t>
        </is>
      </c>
      <c r="G56" s="6" t="n">
        <v>4</v>
      </c>
      <c r="H56" s="6" t="n">
        <v>5</v>
      </c>
      <c r="I56" s="6" t="n">
        <v>3</v>
      </c>
      <c r="J56" s="6" t="n">
        <v>4</v>
      </c>
      <c r="K56" s="6" t="n">
        <v>5</v>
      </c>
      <c r="L56" s="6" t="n">
        <v>2</v>
      </c>
    </row>
    <row r="57">
      <c r="A57" s="6" t="n">
        <v>56</v>
      </c>
      <c r="B57" s="6" t="n"/>
      <c r="C57" s="6" t="n"/>
      <c r="D57" s="6" t="n"/>
      <c r="E57" s="6" t="inlineStr">
        <is>
          <t>D10A</t>
        </is>
      </c>
      <c r="F57" s="6" t="inlineStr">
        <is>
          <t>Information Technology</t>
        </is>
      </c>
      <c r="G57" s="6" t="n">
        <v>4</v>
      </c>
      <c r="H57" s="6" t="n">
        <v>5</v>
      </c>
      <c r="I57" s="6" t="n">
        <v>3</v>
      </c>
      <c r="J57" s="6" t="n">
        <v>4</v>
      </c>
      <c r="K57" s="6" t="n">
        <v>5</v>
      </c>
      <c r="L57" s="6" t="n">
        <v>2</v>
      </c>
    </row>
    <row r="58">
      <c r="A58" s="6" t="n">
        <v>57</v>
      </c>
      <c r="B58" s="6" t="n"/>
      <c r="C58" s="6" t="n"/>
      <c r="D58" s="6" t="n"/>
      <c r="E58" s="6" t="inlineStr">
        <is>
          <t>D10A</t>
        </is>
      </c>
      <c r="F58" s="6" t="inlineStr">
        <is>
          <t>Information Technology</t>
        </is>
      </c>
      <c r="G58" s="6" t="n">
        <v>4</v>
      </c>
      <c r="H58" s="6" t="n">
        <v>5</v>
      </c>
      <c r="I58" s="6" t="n">
        <v>3</v>
      </c>
      <c r="J58" s="6" t="n">
        <v>4</v>
      </c>
      <c r="K58" s="6" t="n">
        <v>5</v>
      </c>
      <c r="L58" s="6" t="n">
        <v>2</v>
      </c>
    </row>
    <row r="59">
      <c r="A59" s="6" t="n">
        <v>58</v>
      </c>
      <c r="B59" s="6" t="n"/>
      <c r="C59" s="6" t="n"/>
      <c r="D59" s="6" t="n"/>
      <c r="E59" s="6" t="inlineStr">
        <is>
          <t>D10A</t>
        </is>
      </c>
      <c r="F59" s="6" t="inlineStr">
        <is>
          <t>Information Technology</t>
        </is>
      </c>
      <c r="G59" s="6" t="n">
        <v>4</v>
      </c>
      <c r="H59" s="6" t="n">
        <v>5</v>
      </c>
      <c r="I59" s="6" t="n">
        <v>3</v>
      </c>
      <c r="J59" s="6" t="n">
        <v>4</v>
      </c>
      <c r="K59" s="6" t="n">
        <v>5</v>
      </c>
      <c r="L59" s="6" t="n">
        <v>2</v>
      </c>
    </row>
    <row r="60">
      <c r="A60" s="6" t="n">
        <v>59</v>
      </c>
      <c r="B60" s="6" t="n"/>
      <c r="C60" s="6" t="n"/>
      <c r="D60" s="6" t="n"/>
      <c r="E60" s="6" t="inlineStr">
        <is>
          <t>D10A</t>
        </is>
      </c>
      <c r="F60" s="6" t="inlineStr">
        <is>
          <t>Information Technology</t>
        </is>
      </c>
      <c r="G60" s="6" t="n">
        <v>4</v>
      </c>
      <c r="H60" s="6" t="n">
        <v>5</v>
      </c>
      <c r="I60" s="6" t="n">
        <v>3</v>
      </c>
      <c r="J60" s="6" t="n">
        <v>4</v>
      </c>
      <c r="K60" s="6" t="n">
        <v>5</v>
      </c>
      <c r="L60" s="6" t="n">
        <v>2</v>
      </c>
    </row>
    <row r="61">
      <c r="A61" s="6" t="n">
        <v>60</v>
      </c>
      <c r="B61" s="6" t="n"/>
      <c r="C61" s="6" t="n"/>
      <c r="D61" s="6" t="n"/>
      <c r="E61" s="6" t="inlineStr">
        <is>
          <t>D10A</t>
        </is>
      </c>
      <c r="F61" s="6" t="inlineStr">
        <is>
          <t>Information Technology</t>
        </is>
      </c>
      <c r="G61" s="6" t="n">
        <v>4</v>
      </c>
      <c r="H61" s="6" t="n">
        <v>5</v>
      </c>
      <c r="I61" s="6" t="n">
        <v>3</v>
      </c>
      <c r="J61" s="6" t="n">
        <v>4</v>
      </c>
      <c r="K61" s="6" t="n">
        <v>5</v>
      </c>
      <c r="L61" s="6" t="n">
        <v>2</v>
      </c>
    </row>
    <row r="64">
      <c r="F64" s="20" t="inlineStr">
        <is>
          <t>Total</t>
        </is>
      </c>
      <c r="G64" s="6">
        <f>COUNT(G2:G61)</f>
        <v/>
      </c>
      <c r="H64" s="6">
        <f>COUNT(H2:H61)</f>
        <v/>
      </c>
      <c r="I64" s="6">
        <f>COUNT(I2:I61)</f>
        <v/>
      </c>
      <c r="J64" s="6">
        <f>COUNT(J2:J61)</f>
        <v/>
      </c>
      <c r="K64" s="6">
        <f>COUNT(K2:K61)</f>
        <v/>
      </c>
      <c r="L64" s="6">
        <f>COUNT(L2:L61)</f>
        <v/>
      </c>
    </row>
    <row r="65">
      <c r="F65" s="20" t="inlineStr">
        <is>
          <t>SA + A Count</t>
        </is>
      </c>
      <c r="G65" s="6">
        <f>COUNTIF(G2:G61, "&gt;=4")</f>
        <v/>
      </c>
      <c r="H65" s="6">
        <f>COUNTIF(H2:H61, "&gt;=4")</f>
        <v/>
      </c>
      <c r="I65" s="6">
        <f>COUNTIF(I2:I61, "&gt;=4")</f>
        <v/>
      </c>
      <c r="J65" s="6">
        <f>COUNTIF(J2:J61, "&gt;=4")</f>
        <v/>
      </c>
      <c r="K65" s="6">
        <f>COUNTIF(K2:K61, "&gt;=4")</f>
        <v/>
      </c>
      <c r="L65" s="6">
        <f>COUNTIF(L2:L61, "&gt;=4")</f>
        <v/>
      </c>
    </row>
    <row r="66">
      <c r="F66" s="20" t="inlineStr">
        <is>
          <t>SA + A Percentage</t>
        </is>
      </c>
      <c r="G66" s="6">
        <f>ROUND((G65/G64*100), 1)</f>
        <v/>
      </c>
      <c r="H66" s="6">
        <f>ROUND((H65/H64*100), 1)</f>
        <v/>
      </c>
      <c r="I66" s="6">
        <f>ROUND((I65/I64*100), 1)</f>
        <v/>
      </c>
      <c r="J66" s="6">
        <f>ROUND((J65/J64*100), 1)</f>
        <v/>
      </c>
      <c r="K66" s="6">
        <f>ROUND((K65/K64*100), 1)</f>
        <v/>
      </c>
      <c r="L66" s="6">
        <f>ROUND((L65/L64*100), 1)</f>
        <v/>
      </c>
    </row>
    <row r="67">
      <c r="F67" s="20" t="inlineStr">
        <is>
          <t>CO Mapped</t>
        </is>
      </c>
      <c r="G67" s="6" t="inlineStr">
        <is>
          <t>CO1</t>
        </is>
      </c>
      <c r="H67" s="6" t="inlineStr">
        <is>
          <t>CO2</t>
        </is>
      </c>
      <c r="I67" s="6" t="inlineStr">
        <is>
          <t>CO3</t>
        </is>
      </c>
      <c r="J67" s="6" t="inlineStr">
        <is>
          <t>CO4</t>
        </is>
      </c>
      <c r="K67" s="6" t="inlineStr">
        <is>
          <t>CO5</t>
        </is>
      </c>
      <c r="L67" s="6" t="inlineStr">
        <is>
          <t>CO6</t>
        </is>
      </c>
    </row>
    <row r="68">
      <c r="F68" s="20" t="inlineStr">
        <is>
          <t>AL</t>
        </is>
      </c>
      <c r="G68" s="5">
        <f>IF(G66&lt;60,1,IF(AND(G66&gt;59,G66&lt;70),2,IF(AND(G66&gt;69,G66&lt;80),3,4)))</f>
        <v/>
      </c>
      <c r="H68" s="5">
        <f>IF(H66&lt;60,1,IF(AND(H66&gt;59,H66&lt;70),2,IF(AND(H66&gt;69,H66&lt;80),3,4)))</f>
        <v/>
      </c>
      <c r="I68" s="5">
        <f>IF(I66&lt;60,1,IF(AND(I66&gt;59,I66&lt;70),2,IF(AND(I66&gt;69,I66&lt;80),3,4)))</f>
        <v/>
      </c>
      <c r="J68" s="5">
        <f>IF(J66&lt;60,1,IF(AND(J66&gt;59,J66&lt;70),2,IF(AND(J66&gt;69,J66&lt;80),3,4)))</f>
        <v/>
      </c>
      <c r="K68" s="5">
        <f>IF(K66&lt;60,1,IF(AND(K66&gt;59,K66&lt;70),2,IF(AND(K66&gt;69,K66&lt;80),3,4)))</f>
        <v/>
      </c>
      <c r="L68" s="5">
        <f>IF(L66&lt;60,1,IF(AND(L66&gt;59,L66&lt;70),2,IF(AND(L66&gt;69,L66&lt;80),3,4)))</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48"/>
  <sheetViews>
    <sheetView workbookViewId="0">
      <selection activeCell="A1" sqref="A1:H1"/>
    </sheetView>
  </sheetViews>
  <sheetFormatPr baseColWidth="8" defaultColWidth="9" defaultRowHeight="14.4"/>
  <cols>
    <col width="16" customWidth="1" min="1" max="1"/>
    <col width="25" customWidth="1" min="2" max="6"/>
    <col width="34" customWidth="1" min="7" max="7"/>
    <col width="25" customWidth="1" min="8" max="8"/>
  </cols>
  <sheetData>
    <row r="1">
      <c r="A1" s="1" t="inlineStr">
        <is>
          <t>Vivekanand Education Society's Institute of Technology</t>
        </is>
      </c>
    </row>
    <row r="2">
      <c r="A2" s="1" t="inlineStr">
        <is>
          <t>Department of Information Technology</t>
        </is>
      </c>
    </row>
    <row r="3">
      <c r="A3" s="1" t="inlineStr">
        <is>
          <t>Academic Year :2024-2025</t>
        </is>
      </c>
    </row>
    <row r="4">
      <c r="A4" s="2" t="n"/>
    </row>
    <row r="5">
      <c r="A5" s="3" t="inlineStr">
        <is>
          <t xml:space="preserve">  Subject : Data Structures and Analysis                                                                                                                                                                       Class : D10A</t>
        </is>
      </c>
    </row>
    <row r="6">
      <c r="A6" s="3" t="inlineStr">
        <is>
          <t xml:space="preserve">  Subject Teacher :Sairam Konar                                                                                                                                                                Semester : III</t>
        </is>
      </c>
    </row>
    <row r="7">
      <c r="A7" s="2" t="n"/>
    </row>
    <row r="8">
      <c r="A8" s="3" t="inlineStr">
        <is>
          <t>Course Outcomes(COs): Upon successful completion of this course, students will be able to:</t>
        </is>
      </c>
    </row>
    <row r="9">
      <c r="A9" s="6" t="inlineStr">
        <is>
          <t>CO1</t>
        </is>
      </c>
      <c r="B9" s="18" t="inlineStr">
        <is>
          <t>sairam</t>
        </is>
      </c>
      <c r="C9" s="30" t="n"/>
      <c r="D9" s="30" t="n"/>
      <c r="E9" s="30" t="n"/>
      <c r="F9" s="30" t="n"/>
      <c r="G9" s="30" t="n"/>
      <c r="H9" s="31" t="n"/>
    </row>
    <row r="10">
      <c r="A10" s="6" t="inlineStr">
        <is>
          <t>CO2</t>
        </is>
      </c>
      <c r="B10" s="18" t="inlineStr">
        <is>
          <t>konar</t>
        </is>
      </c>
      <c r="C10" s="30" t="n"/>
      <c r="D10" s="30" t="n"/>
      <c r="E10" s="30" t="n"/>
      <c r="F10" s="30" t="n"/>
      <c r="G10" s="30" t="n"/>
      <c r="H10" s="31" t="n"/>
    </row>
    <row r="11">
      <c r="A11" s="6" t="inlineStr">
        <is>
          <t>CO3</t>
        </is>
      </c>
      <c r="B11" s="18" t="inlineStr">
        <is>
          <t>d15c</t>
        </is>
      </c>
      <c r="C11" s="30" t="n"/>
      <c r="D11" s="30" t="n"/>
      <c r="E11" s="30" t="n"/>
      <c r="F11" s="30" t="n"/>
      <c r="G11" s="30" t="n"/>
      <c r="H11" s="31" t="n"/>
    </row>
    <row r="12">
      <c r="A12" s="6" t="inlineStr">
        <is>
          <t>CO4</t>
        </is>
      </c>
      <c r="B12" s="18" t="inlineStr">
        <is>
          <t>sariam</t>
        </is>
      </c>
      <c r="C12" s="30" t="n"/>
      <c r="D12" s="30" t="n"/>
      <c r="E12" s="30" t="n"/>
      <c r="F12" s="30" t="n"/>
      <c r="G12" s="30" t="n"/>
      <c r="H12" s="31" t="n"/>
    </row>
    <row r="13">
      <c r="A13" s="6" t="inlineStr">
        <is>
          <t>CO5</t>
        </is>
      </c>
      <c r="B13" s="18" t="inlineStr">
        <is>
          <t>sfabubo</t>
        </is>
      </c>
      <c r="C13" s="30" t="n"/>
      <c r="D13" s="30" t="n"/>
      <c r="E13" s="30" t="n"/>
      <c r="F13" s="30" t="n"/>
      <c r="G13" s="30" t="n"/>
      <c r="H13" s="31" t="n"/>
    </row>
    <row r="14">
      <c r="A14" s="6" t="inlineStr">
        <is>
          <t>CO6</t>
        </is>
      </c>
      <c r="B14" s="18" t="inlineStr">
        <is>
          <t>ve b</t>
        </is>
      </c>
      <c r="C14" s="30" t="n"/>
      <c r="D14" s="30" t="n"/>
      <c r="E14" s="30" t="n"/>
      <c r="F14" s="30" t="n"/>
      <c r="G14" s="30" t="n"/>
      <c r="H14" s="31" t="n"/>
    </row>
    <row r="15"/>
    <row r="16">
      <c r="A16" s="1" t="inlineStr">
        <is>
          <t>CO Rubrics Mapping</t>
        </is>
      </c>
    </row>
    <row r="17">
      <c r="A17" s="2" t="n"/>
    </row>
    <row r="18">
      <c r="A18" s="5" t="inlineStr">
        <is>
          <t>Assessment</t>
        </is>
      </c>
      <c r="B18" s="5" t="inlineStr">
        <is>
          <t>Direct Assessment</t>
        </is>
      </c>
      <c r="C18" s="30" t="n"/>
      <c r="D18" s="30" t="n"/>
      <c r="E18" s="30" t="n"/>
      <c r="F18" s="31" t="n"/>
      <c r="G18" s="5" t="inlineStr">
        <is>
          <t>Indirect Assessment</t>
        </is>
      </c>
      <c r="H18" s="2" t="n"/>
    </row>
    <row r="19">
      <c r="A19" s="24" t="n"/>
      <c r="B19" s="5" t="inlineStr">
        <is>
          <t>Internal Assessment</t>
        </is>
      </c>
      <c r="C19" s="30" t="n"/>
      <c r="D19" s="30" t="n"/>
      <c r="E19" s="31" t="n"/>
      <c r="F19" s="5" t="inlineStr">
        <is>
          <t>External Assessment</t>
        </is>
      </c>
      <c r="G19" s="24" t="n"/>
      <c r="H19" s="2" t="n"/>
    </row>
    <row r="20">
      <c r="A20" s="5" t="inlineStr">
        <is>
          <t>CO's</t>
        </is>
      </c>
      <c r="B20" s="5" t="inlineStr">
        <is>
          <t>Mid Term Test</t>
        </is>
      </c>
      <c r="C20" s="5" t="inlineStr">
        <is>
          <t>CA1</t>
        </is>
      </c>
      <c r="D20" s="5" t="inlineStr">
        <is>
          <t>CA2</t>
        </is>
      </c>
      <c r="E20" s="5" t="inlineStr">
        <is>
          <t>CA3</t>
        </is>
      </c>
      <c r="F20" s="5" t="inlineStr">
        <is>
          <t>ESE(TH)</t>
        </is>
      </c>
      <c r="G20" s="5" t="inlineStr">
        <is>
          <t>Course Exit Survey</t>
        </is>
      </c>
      <c r="H20" s="2" t="n"/>
    </row>
    <row r="21">
      <c r="A21" s="6" t="inlineStr">
        <is>
          <t>CO1</t>
        </is>
      </c>
      <c r="B21" s="6">
        <f>IF(Midsem!G80="-"," ","✓")</f>
        <v/>
      </c>
      <c r="C21" s="6">
        <f>IF(CA1!C77="-"," ","✓")</f>
        <v/>
      </c>
      <c r="D21" s="6">
        <f>IF(CA2!D74="-"," ","✓")</f>
        <v/>
      </c>
      <c r="E21" s="6">
        <f>IF(CA3!I67="-"," ","✓")</f>
        <v/>
      </c>
      <c r="F21" s="6">
        <f>IF(Endsem!B74="-"," ","✓")</f>
        <v/>
      </c>
      <c r="G21" s="6">
        <f>IF(Survey!G68="-"," ","✓")</f>
        <v/>
      </c>
    </row>
    <row r="22">
      <c r="A22" s="6" t="inlineStr">
        <is>
          <t>CO2</t>
        </is>
      </c>
      <c r="B22" s="6">
        <f>IF(Midsem!G81="-"," ","✓")</f>
        <v/>
      </c>
      <c r="C22" s="6">
        <f>IF(CA1!C78="-"," ","✓")</f>
        <v/>
      </c>
      <c r="D22" s="6">
        <f>IF(CA2!D75="-"," ","✓")</f>
        <v/>
      </c>
      <c r="E22" s="6">
        <f>IF(CA3!I68="-"," ","✓")</f>
        <v/>
      </c>
      <c r="F22" s="6">
        <f>IF(Endsem!B75="-"," ","✓")</f>
        <v/>
      </c>
      <c r="G22" s="6">
        <f>IF(Survey!H68="-"," ","✓")</f>
        <v/>
      </c>
    </row>
    <row r="23">
      <c r="A23" s="6" t="inlineStr">
        <is>
          <t>CO3</t>
        </is>
      </c>
      <c r="B23" s="6">
        <f>IF(Midsem!G82="-"," ","✓")</f>
        <v/>
      </c>
      <c r="C23" s="6">
        <f>IF(CA1!C79="-"," ","✓")</f>
        <v/>
      </c>
      <c r="D23" s="6">
        <f>IF(CA2!D76="-"," ","✓")</f>
        <v/>
      </c>
      <c r="E23" s="6">
        <f>IF(CA3!I69="-"," ","✓")</f>
        <v/>
      </c>
      <c r="F23" s="6">
        <f>IF(Endsem!B76="-"," ","✓")</f>
        <v/>
      </c>
      <c r="G23" s="6">
        <f>IF(Survey!I68="-"," ","✓")</f>
        <v/>
      </c>
    </row>
    <row r="24">
      <c r="A24" s="6" t="inlineStr">
        <is>
          <t>CO4</t>
        </is>
      </c>
      <c r="B24" s="6">
        <f>IF(Midsem!G83="-"," ","✓")</f>
        <v/>
      </c>
      <c r="C24" s="6">
        <f>IF(CA1!C80="-"," ","✓")</f>
        <v/>
      </c>
      <c r="D24" s="6">
        <f>IF(CA2!D77="-"," ","✓")</f>
        <v/>
      </c>
      <c r="E24" s="6">
        <f>IF(CA3!I70="-"," ","✓")</f>
        <v/>
      </c>
      <c r="F24" s="6">
        <f>IF(Endsem!B77="-"," ","✓")</f>
        <v/>
      </c>
      <c r="G24" s="6">
        <f>IF(Survey!J68="-"," ","✓")</f>
        <v/>
      </c>
    </row>
    <row r="25">
      <c r="A25" s="6" t="inlineStr">
        <is>
          <t>CO5</t>
        </is>
      </c>
      <c r="B25" s="6">
        <f>IF(Midsem!G84="-"," ","✓")</f>
        <v/>
      </c>
      <c r="C25" s="6">
        <f>IF(CA1!C81="-"," ","✓")</f>
        <v/>
      </c>
      <c r="D25" s="6">
        <f>IF(CA2!D78="-"," ","✓")</f>
        <v/>
      </c>
      <c r="E25" s="6">
        <f>IF(CA3!I71="-"," ","✓")</f>
        <v/>
      </c>
      <c r="F25" s="6">
        <f>IF(Endsem!B78="-"," ","✓")</f>
        <v/>
      </c>
      <c r="G25" s="6">
        <f>IF(Survey!K68="-"," ","✓")</f>
        <v/>
      </c>
    </row>
    <row r="26">
      <c r="A26" s="6" t="inlineStr">
        <is>
          <t>CO6</t>
        </is>
      </c>
      <c r="B26" s="6">
        <f>IF(Midsem!G85="-"," ","✓")</f>
        <v/>
      </c>
      <c r="C26" s="6">
        <f>IF(CA1!C82="-"," ","✓")</f>
        <v/>
      </c>
      <c r="D26" s="6">
        <f>IF(CA2!D79="-"," ","✓")</f>
        <v/>
      </c>
      <c r="E26" s="6">
        <f>IF(CA3!I72="-"," ","✓")</f>
        <v/>
      </c>
      <c r="F26" s="6">
        <f>IF(Endsem!B79="-"," ","✓")</f>
        <v/>
      </c>
      <c r="G26" s="6">
        <f>IF(Survey!L68="-"," ","✓")</f>
        <v/>
      </c>
    </row>
    <row r="27"/>
    <row r="28">
      <c r="A28" s="1" t="inlineStr">
        <is>
          <t>CO Attainment (Level)</t>
        </is>
      </c>
    </row>
    <row r="29">
      <c r="A29" s="2" t="n"/>
    </row>
    <row r="30">
      <c r="A30" s="5" t="inlineStr">
        <is>
          <t>Assessment</t>
        </is>
      </c>
      <c r="B30" s="5" t="inlineStr">
        <is>
          <t>Direct Assessment</t>
        </is>
      </c>
      <c r="C30" s="30" t="n"/>
      <c r="D30" s="30" t="n"/>
      <c r="E30" s="30" t="n"/>
      <c r="F30" s="30" t="n"/>
      <c r="G30" s="31" t="n"/>
      <c r="H30" s="5" t="inlineStr">
        <is>
          <t>Indirect Assessment</t>
        </is>
      </c>
    </row>
    <row r="31">
      <c r="A31" s="24" t="n"/>
      <c r="B31" s="5" t="inlineStr">
        <is>
          <t>Internal Assessment</t>
        </is>
      </c>
      <c r="C31" s="30" t="n"/>
      <c r="D31" s="30" t="n"/>
      <c r="E31" s="31" t="n"/>
      <c r="F31" s="5" t="inlineStr">
        <is>
          <t>External Assessment</t>
        </is>
      </c>
      <c r="G31" s="5" t="inlineStr">
        <is>
          <t>Attainment Level</t>
        </is>
      </c>
      <c r="H31" s="24" t="n"/>
    </row>
    <row r="32">
      <c r="A32" s="5" t="inlineStr">
        <is>
          <t>CO's</t>
        </is>
      </c>
      <c r="B32" s="5" t="inlineStr">
        <is>
          <t>Mid Term Test</t>
        </is>
      </c>
      <c r="C32" s="5" t="inlineStr">
        <is>
          <t>CA1</t>
        </is>
      </c>
      <c r="D32" s="5" t="inlineStr">
        <is>
          <t>CA2</t>
        </is>
      </c>
      <c r="E32" s="5" t="inlineStr">
        <is>
          <t>CA3</t>
        </is>
      </c>
      <c r="F32" s="5" t="inlineStr">
        <is>
          <t>ESE(TH)</t>
        </is>
      </c>
      <c r="G32" s="5" t="inlineStr">
        <is>
          <t>70% (External) + 30% (Internal)</t>
        </is>
      </c>
      <c r="H32" s="5" t="inlineStr">
        <is>
          <t>Course Exit Survey</t>
        </is>
      </c>
    </row>
    <row r="33">
      <c r="A33" s="6" t="inlineStr">
        <is>
          <t>CO1</t>
        </is>
      </c>
      <c r="B33" s="6">
        <f>Midsem!G80</f>
        <v/>
      </c>
      <c r="C33" s="6">
        <f>CA1!C77</f>
        <v/>
      </c>
      <c r="D33" s="6">
        <f>CA2!D74</f>
        <v/>
      </c>
      <c r="E33" s="6">
        <f>CA3!I67</f>
        <v/>
      </c>
      <c r="F33" s="6">
        <f>Endsem!B74</f>
        <v/>
      </c>
      <c r="G33" s="6">
        <f>IF(AND(F33="-", COUNTIF(B33:E33, "-")=3), "-", IF(F33="-", ROUND(0.3*AVERAGE(B33,C33,D33,E33), 1), IF(COUNTIF(B33:E33, "-")=4, ROUND(0.7*F33, 1), ROUND(0.7*F33+0.3*(AVERAGE(B33,C33,D33,E33)),1))))</f>
        <v/>
      </c>
      <c r="H33" s="6">
        <f>Survey!G68</f>
        <v/>
      </c>
    </row>
    <row r="34">
      <c r="A34" s="6" t="inlineStr">
        <is>
          <t>CO2</t>
        </is>
      </c>
      <c r="B34" s="6">
        <f>Midsem!G81</f>
        <v/>
      </c>
      <c r="C34" s="6">
        <f>CA1!C78</f>
        <v/>
      </c>
      <c r="D34" s="6">
        <f>CA2!D75</f>
        <v/>
      </c>
      <c r="E34" s="6">
        <f>CA3!I68</f>
        <v/>
      </c>
      <c r="F34" s="6">
        <f>Endsem!B75</f>
        <v/>
      </c>
      <c r="G34" s="6">
        <f>IF(AND(F34="-", COUNTIF(B34:E34, "-")=3), "-", IF(F34="-", ROUND(0.3*AVERAGE(B34,C34,D34,E34), 1), IF(COUNTIF(B34:E34, "-")=4, ROUND(0.7*F34, 1), ROUND(0.7*F34+0.3*(AVERAGE(B34,C34,D34,E34)),1))))</f>
        <v/>
      </c>
      <c r="H34" s="6">
        <f>Survey!H68</f>
        <v/>
      </c>
    </row>
    <row r="35">
      <c r="A35" s="6" t="inlineStr">
        <is>
          <t>CO3</t>
        </is>
      </c>
      <c r="B35" s="6">
        <f>Midsem!G82</f>
        <v/>
      </c>
      <c r="C35" s="6">
        <f>CA1!C79</f>
        <v/>
      </c>
      <c r="D35" s="6">
        <f>CA2!D76</f>
        <v/>
      </c>
      <c r="E35" s="6">
        <f>CA3!I69</f>
        <v/>
      </c>
      <c r="F35" s="6">
        <f>Endsem!B76</f>
        <v/>
      </c>
      <c r="G35" s="6">
        <f>IF(AND(F35="-", COUNTIF(B35:E35, "-")=3), "-", IF(F35="-", ROUND(0.3*AVERAGE(B35,C35,D35,E35), 1), IF(COUNTIF(B35:E35, "-")=4, ROUND(0.7*F35, 1), ROUND(0.7*F35+0.3*(AVERAGE(B35,C35,D35,E35)),1))))</f>
        <v/>
      </c>
      <c r="H35" s="6">
        <f>Survey!I68</f>
        <v/>
      </c>
    </row>
    <row r="36">
      <c r="A36" s="6" t="inlineStr">
        <is>
          <t>CO4</t>
        </is>
      </c>
      <c r="B36" s="6">
        <f>Midsem!G83</f>
        <v/>
      </c>
      <c r="C36" s="6">
        <f>CA1!C80</f>
        <v/>
      </c>
      <c r="D36" s="6">
        <f>CA2!D77</f>
        <v/>
      </c>
      <c r="E36" s="6">
        <f>CA3!I70</f>
        <v/>
      </c>
      <c r="F36" s="6">
        <f>Endsem!B77</f>
        <v/>
      </c>
      <c r="G36" s="6">
        <f>IF(AND(F36="-", COUNTIF(B36:E36, "-")=3), "-", IF(F36="-", ROUND(0.3*AVERAGE(B36,C36,D36,E36), 1), IF(COUNTIF(B36:E36, "-")=4, ROUND(0.7*F36, 1), ROUND(0.7*F36+0.3*(AVERAGE(B36,C36,D36,E36)),1))))</f>
        <v/>
      </c>
      <c r="H36" s="6">
        <f>Survey!J68</f>
        <v/>
      </c>
    </row>
    <row r="37">
      <c r="A37" s="6" t="inlineStr">
        <is>
          <t>CO5</t>
        </is>
      </c>
      <c r="B37" s="6">
        <f>Midsem!G84</f>
        <v/>
      </c>
      <c r="C37" s="6">
        <f>CA1!C81</f>
        <v/>
      </c>
      <c r="D37" s="6">
        <f>CA2!D78</f>
        <v/>
      </c>
      <c r="E37" s="6">
        <f>CA3!I71</f>
        <v/>
      </c>
      <c r="F37" s="6">
        <f>Endsem!B78</f>
        <v/>
      </c>
      <c r="G37" s="6">
        <f>IF(AND(F37="-", COUNTIF(B37:E37, "-")=3), "-", IF(F37="-", ROUND(0.3*AVERAGE(B37,C37,D37,E37), 1), IF(COUNTIF(B37:E37, "-")=4, ROUND(0.7*F37, 1), ROUND(0.7*F37+0.3*(AVERAGE(B37,C37,D37,E37)),1))))</f>
        <v/>
      </c>
      <c r="H37" s="6">
        <f>Survey!K68</f>
        <v/>
      </c>
    </row>
    <row r="38">
      <c r="A38" s="6" t="inlineStr">
        <is>
          <t>CO6</t>
        </is>
      </c>
      <c r="B38" s="6">
        <f>Midsem!G85</f>
        <v/>
      </c>
      <c r="C38" s="6">
        <f>CA1!C82</f>
        <v/>
      </c>
      <c r="D38" s="6">
        <f>CA2!D79</f>
        <v/>
      </c>
      <c r="E38" s="6">
        <f>CA3!I72</f>
        <v/>
      </c>
      <c r="F38" s="6">
        <f>Endsem!B79</f>
        <v/>
      </c>
      <c r="G38" s="6">
        <f>IF(AND(F38="-", COUNTIF(B38:E38, "-")=3), "-", IF(F38="-", ROUND(0.3*AVERAGE(B38,C38,D38,E38), 1), IF(COUNTIF(B38:E38, "-")=4, ROUND(0.7*F38, 1), ROUND(0.7*F38+0.3*(AVERAGE(B38,C38,D38,E38)),1))))</f>
        <v/>
      </c>
      <c r="H38" s="6">
        <f>Survey!L68</f>
        <v/>
      </c>
    </row>
    <row r="39"/>
    <row r="40">
      <c r="A40" s="1" t="inlineStr">
        <is>
          <t>Final CO Attainment</t>
        </is>
      </c>
    </row>
    <row r="41"/>
    <row r="42">
      <c r="C42" s="5" t="inlineStr">
        <is>
          <t>Course Outcomes</t>
        </is>
      </c>
      <c r="D42" s="5" t="inlineStr">
        <is>
          <t>Direct AL</t>
        </is>
      </c>
      <c r="E42" s="5" t="inlineStr">
        <is>
          <t>Indirect AL</t>
        </is>
      </c>
    </row>
    <row r="43">
      <c r="C43" s="5" t="inlineStr">
        <is>
          <t>CO1</t>
        </is>
      </c>
      <c r="D43" s="6">
        <f>IF(AND(F33="-", COUNTIF(B33:E33, "-")=3), "-", IF(F33="-", ROUND(0.3*AVERAGE(B33,C33,D33,E33), 1), IF(COUNTIF(B33:E33, "-")=4, ROUND(0.7*F33, 1), ROUND(0.7*F33+0.3*(AVERAGE(B33,C33,D33,E33)),1))))</f>
        <v/>
      </c>
      <c r="E43" s="6">
        <f>Survey!G68</f>
        <v/>
      </c>
    </row>
    <row r="44">
      <c r="C44" s="5" t="inlineStr">
        <is>
          <t>CO2</t>
        </is>
      </c>
      <c r="D44" s="6">
        <f>IF(AND(F34="-", COUNTIF(B34:E34, "-")=3), "-", IF(F34="-", ROUND(0.3*AVERAGE(B34,C34,D34,E34), 1), IF(COUNTIF(B34:E34, "-")=4, ROUND(0.7*F34, 1), ROUND(0.7*F34+0.3*(AVERAGE(B34,C34,D34,E34)),1))))</f>
        <v/>
      </c>
      <c r="E44" s="6">
        <f>Survey!H68</f>
        <v/>
      </c>
    </row>
    <row r="45">
      <c r="C45" s="5" t="inlineStr">
        <is>
          <t>CO3</t>
        </is>
      </c>
      <c r="D45" s="6">
        <f>IF(AND(F35="-", COUNTIF(B35:E35, "-")=3), "-", IF(F35="-", ROUND(0.3*AVERAGE(B35,C35,D35,E35), 1), IF(COUNTIF(B35:E35, "-")=4, ROUND(0.7*F35, 1), ROUND(0.7*F35+0.3*(AVERAGE(B35,C35,D35,E35)),1))))</f>
        <v/>
      </c>
      <c r="E45" s="6">
        <f>Survey!I68</f>
        <v/>
      </c>
    </row>
    <row r="46">
      <c r="C46" s="5" t="inlineStr">
        <is>
          <t>CO4</t>
        </is>
      </c>
      <c r="D46" s="6">
        <f>IF(AND(F36="-", COUNTIF(B36:E36, "-")=3), "-", IF(F36="-", ROUND(0.3*AVERAGE(B36,C36,D36,E36), 1), IF(COUNTIF(B36:E36, "-")=4, ROUND(0.7*F36, 1), ROUND(0.7*F36+0.3*(AVERAGE(B36,C36,D36,E36)),1))))</f>
        <v/>
      </c>
      <c r="E46" s="6">
        <f>Survey!J68</f>
        <v/>
      </c>
    </row>
    <row r="47">
      <c r="C47" s="5" t="inlineStr">
        <is>
          <t>CO5</t>
        </is>
      </c>
      <c r="D47" s="6">
        <f>IF(AND(F37="-", COUNTIF(B37:E37, "-")=3), "-", IF(F37="-", ROUND(0.3*AVERAGE(B37,C37,D37,E37), 1), IF(COUNTIF(B37:E37, "-")=4, ROUND(0.7*F37, 1), ROUND(0.7*F37+0.3*(AVERAGE(B37,C37,D37,E37)),1))))</f>
        <v/>
      </c>
      <c r="E47" s="6">
        <f>Survey!K68</f>
        <v/>
      </c>
    </row>
    <row r="48">
      <c r="C48" s="5" t="inlineStr">
        <is>
          <t>CO6</t>
        </is>
      </c>
      <c r="D48" s="6">
        <f>IF(AND(F38="-", COUNTIF(B38:E38, "-")=3), "-", IF(F38="-", ROUND(0.3*AVERAGE(B38,C38,D38,E38), 1), IF(COUNTIF(B38:E38, "-")=4, ROUND(0.7*F38, 1), ROUND(0.7*F38+0.3*(AVERAGE(B38,C38,D38,E38)),1))))</f>
        <v/>
      </c>
      <c r="E48" s="6">
        <f>Survey!L68</f>
        <v/>
      </c>
    </row>
  </sheetData>
  <mergeCells count="31">
    <mergeCell ref="A39:H39"/>
    <mergeCell ref="A15:H15"/>
    <mergeCell ref="B9:H9"/>
    <mergeCell ref="A1:H1"/>
    <mergeCell ref="B18:F18"/>
    <mergeCell ref="A6:H6"/>
    <mergeCell ref="A7:H7"/>
    <mergeCell ref="A16:H16"/>
    <mergeCell ref="A41:H41"/>
    <mergeCell ref="B30:G30"/>
    <mergeCell ref="A18:A19"/>
    <mergeCell ref="A27:H27"/>
    <mergeCell ref="G18:G19"/>
    <mergeCell ref="B31:E31"/>
    <mergeCell ref="A3:H3"/>
    <mergeCell ref="A2:H2"/>
    <mergeCell ref="B12:H12"/>
    <mergeCell ref="A5:H5"/>
    <mergeCell ref="B11:H11"/>
    <mergeCell ref="A8:H8"/>
    <mergeCell ref="A17:H17"/>
    <mergeCell ref="A4:H4"/>
    <mergeCell ref="B14:H14"/>
    <mergeCell ref="H30:H31"/>
    <mergeCell ref="A29:H29"/>
    <mergeCell ref="B13:H13"/>
    <mergeCell ref="A28:H28"/>
    <mergeCell ref="B10:H10"/>
    <mergeCell ref="B19:E19"/>
    <mergeCell ref="A30:A31"/>
    <mergeCell ref="A40:H4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0"/>
  <sheetViews>
    <sheetView tabSelected="1" topLeftCell="A8" workbookViewId="0">
      <selection activeCell="B16" sqref="B16:O21"/>
    </sheetView>
  </sheetViews>
  <sheetFormatPr baseColWidth="8" defaultColWidth="9" defaultRowHeight="14.4"/>
  <sheetData>
    <row r="1">
      <c r="A1" s="1" t="inlineStr">
        <is>
          <t>Vivekanand Education Society's Institute of Technology</t>
        </is>
      </c>
    </row>
    <row r="2">
      <c r="A2" s="1" t="inlineStr">
        <is>
          <t>Department of Information Technology</t>
        </is>
      </c>
    </row>
    <row r="3">
      <c r="A3" s="1" t="inlineStr">
        <is>
          <t>Academic Year :2024-2025</t>
        </is>
      </c>
    </row>
    <row r="4">
      <c r="A4" s="2" t="n"/>
    </row>
    <row r="5">
      <c r="A5" s="3" t="inlineStr">
        <is>
          <t xml:space="preserve">  Subject : Data Structures and Analysis                                                                                                                                                                       Class : D10A</t>
        </is>
      </c>
    </row>
    <row r="6">
      <c r="A6" s="3" t="inlineStr">
        <is>
          <t xml:space="preserve">  Subject Teacher :Sairam Konar                                                                                                                                                                Semester : III</t>
        </is>
      </c>
    </row>
    <row r="7">
      <c r="A7" s="2" t="n"/>
    </row>
    <row r="8">
      <c r="A8" s="2" t="n"/>
    </row>
    <row r="9">
      <c r="A9" s="3" t="inlineStr">
        <is>
          <t>Programme Outcomes(POs):</t>
        </is>
      </c>
    </row>
    <row r="10">
      <c r="A10" t="inlineStr">
        <is>
          <t>PO1) Basic Engineering knowledge: An ability to apply the fundamental knowledge in mathematics, science and engineering to solve problems in Computer engineering.
    PO2) Problem Analysis: Identify, formulate, research literature and analyze computer engineering problems reaching substantiated conclusions using first principles of mathematics, natural sciences and computer engineering and sciences.
    PO3) Design/ Development of Solutions: Design solutions for complex computer engineering problems and design system components or processes that meet specified needs with appropriate consideration for public health and safety, cultural, societal and environmental considerations.
    PO4) Conduct investigations of complex engineering problems using research-based knowledge and research methods including design of experiments, analysis and interpretation of data and synthesis of information to provide valid conclusions
    PO5) Modern Tool Usage: Create, select and apply appropriate techniques, resources and modern computer engineering and IT tools including prediction and modeling to complex engineering activities with an understanding of the limitations. 
    PO6) The Engineer and Society: Apply reasoning informed by contextual knowledge to assess societal, health, safety, legal and cultural issues and the consequent responsibilities relevant to computer engineering practice.
    PO7) Environment and Sustainability: Understand the impact of professional computer engineering solutions in societal and environmental contexts and demonstrate knowledge of and need for sustainable development. 
    PO8) Ethics: Apply ethical principles and commit to professional ethics and responsibilities and norms of computer engineering practice.
    PO9) Individual and Team Work: Function effectively as an individual, and as a member or leader in diverse teams and in multidisciplinary settings. 
    PO10) Communication: Communicate effectively on complex engineering activities with the engineering community and with society at large, such as being able to comprehend and write effective reports and design documentation, make effective presentations and give and receive clear instructions 
    PO11) Project Management and Finance: Demonstrate knowledge and understanding of computer engineering and management principles and apply these to one's own work, as a member and leader in a team, to manage projects and in multidisciplinary environments.
    PO12) Life-long Learning: Recognize the need for and have the preparation and ability to engage in independent and lifelong learning in the broadest context of technological change.
    PSO1) Professional Skills - The ability to develop programs for computer based systems of varying complexity and domains using standard practices.
    PSO2) Successful Career - The ability to adopt skills, languages, environment and platforms for creating innovative carrier paths, being successful entrepreneurs or for pursuing higher studies.</t>
        </is>
      </c>
    </row>
    <row r="12">
      <c r="A12" s="1" t="inlineStr">
        <is>
          <t>CO - PO/PSO Mapping</t>
        </is>
      </c>
    </row>
    <row r="14">
      <c r="A14" s="4" t="inlineStr">
        <is>
          <t>Course Outcomes</t>
        </is>
      </c>
      <c r="B14" s="5" t="inlineStr">
        <is>
          <t>Programme Outcomes</t>
        </is>
      </c>
      <c r="C14" s="30" t="n"/>
      <c r="D14" s="30" t="n"/>
      <c r="E14" s="30" t="n"/>
      <c r="F14" s="30" t="n"/>
      <c r="G14" s="30" t="n"/>
      <c r="H14" s="30" t="n"/>
      <c r="I14" s="30" t="n"/>
      <c r="J14" s="30" t="n"/>
      <c r="K14" s="30" t="n"/>
      <c r="L14" s="30" t="n"/>
      <c r="M14" s="31" t="n"/>
      <c r="N14" s="5" t="inlineStr">
        <is>
          <t>PSOs</t>
        </is>
      </c>
      <c r="O14" s="31" t="n"/>
    </row>
    <row r="15" ht="15.15" customHeight="1">
      <c r="A15" s="24" t="n"/>
      <c r="B15" s="5" t="inlineStr">
        <is>
          <t>PO1</t>
        </is>
      </c>
      <c r="C15" s="5" t="inlineStr">
        <is>
          <t>PO2</t>
        </is>
      </c>
      <c r="D15" s="5" t="inlineStr">
        <is>
          <t>PO3</t>
        </is>
      </c>
      <c r="E15" s="5" t="inlineStr">
        <is>
          <t>PO4</t>
        </is>
      </c>
      <c r="F15" s="5" t="inlineStr">
        <is>
          <t>PO5</t>
        </is>
      </c>
      <c r="G15" s="5" t="inlineStr">
        <is>
          <t>PO6</t>
        </is>
      </c>
      <c r="H15" s="5" t="inlineStr">
        <is>
          <t>PO7</t>
        </is>
      </c>
      <c r="I15" s="5" t="inlineStr">
        <is>
          <t>PO8</t>
        </is>
      </c>
      <c r="J15" s="5" t="inlineStr">
        <is>
          <t>PO9</t>
        </is>
      </c>
      <c r="K15" s="5" t="inlineStr">
        <is>
          <t>PO10</t>
        </is>
      </c>
      <c r="L15" s="5" t="inlineStr">
        <is>
          <t>PO11</t>
        </is>
      </c>
      <c r="M15" s="5" t="inlineStr">
        <is>
          <t>PO12</t>
        </is>
      </c>
      <c r="N15" s="5" t="inlineStr">
        <is>
          <t>PSO1</t>
        </is>
      </c>
      <c r="O15" s="5" t="inlineStr">
        <is>
          <t>PSO2</t>
        </is>
      </c>
    </row>
    <row r="16" ht="14.55" customHeight="1">
      <c r="A16" s="5" t="inlineStr">
        <is>
          <t>CO1</t>
        </is>
      </c>
      <c r="B16" s="7" t="n">
        <v>3</v>
      </c>
      <c r="C16" s="8" t="n">
        <v>0</v>
      </c>
      <c r="D16" s="9" t="n">
        <v>3</v>
      </c>
      <c r="E16" s="9" t="n">
        <v>3</v>
      </c>
      <c r="F16" s="10" t="n">
        <v>0</v>
      </c>
      <c r="G16" s="11" t="n">
        <v>3</v>
      </c>
      <c r="H16" s="11" t="n">
        <v>3</v>
      </c>
      <c r="I16" s="11" t="n">
        <v>3</v>
      </c>
      <c r="J16" s="11" t="n">
        <v>3</v>
      </c>
      <c r="K16" s="11" t="n">
        <v>3</v>
      </c>
      <c r="L16" s="11" t="n">
        <v>3</v>
      </c>
      <c r="M16" s="9" t="n">
        <v>3</v>
      </c>
      <c r="N16" s="9" t="n">
        <v>3</v>
      </c>
      <c r="O16" s="9" t="n">
        <v>3</v>
      </c>
    </row>
    <row r="17" ht="14.55" customHeight="1">
      <c r="A17" s="5" t="inlineStr">
        <is>
          <t>CO2</t>
        </is>
      </c>
      <c r="B17" s="12" t="n">
        <v>0</v>
      </c>
      <c r="C17" s="13" t="n">
        <v>3</v>
      </c>
      <c r="D17" s="13" t="n">
        <v>3</v>
      </c>
      <c r="E17" s="14" t="n">
        <v>0</v>
      </c>
      <c r="F17" s="15" t="n">
        <v>0</v>
      </c>
      <c r="G17" s="16" t="n">
        <v>3</v>
      </c>
      <c r="H17" s="15" t="n">
        <v>0</v>
      </c>
      <c r="I17" s="15" t="n">
        <v>0</v>
      </c>
      <c r="J17" s="16" t="n">
        <v>3</v>
      </c>
      <c r="K17" s="16" t="n">
        <v>3</v>
      </c>
      <c r="L17" s="15" t="n">
        <v>0</v>
      </c>
      <c r="M17" s="13" t="n">
        <v>3</v>
      </c>
      <c r="N17" s="13" t="n">
        <v>3</v>
      </c>
      <c r="O17" s="13" t="n">
        <v>3</v>
      </c>
    </row>
    <row r="18" ht="14.55" customHeight="1">
      <c r="A18" s="5" t="inlineStr">
        <is>
          <t>CO3</t>
        </is>
      </c>
      <c r="B18" s="12" t="n">
        <v>0</v>
      </c>
      <c r="C18" s="14" t="n">
        <v>0</v>
      </c>
      <c r="D18" s="14" t="n">
        <v>0</v>
      </c>
      <c r="E18" s="14" t="n">
        <v>0</v>
      </c>
      <c r="F18" s="16" t="n">
        <v>3</v>
      </c>
      <c r="G18" s="15" t="n">
        <v>0</v>
      </c>
      <c r="H18" s="15" t="n">
        <v>0</v>
      </c>
      <c r="I18" s="15" t="n">
        <v>0</v>
      </c>
      <c r="J18" s="15" t="n">
        <v>0</v>
      </c>
      <c r="K18" s="15" t="n">
        <v>0</v>
      </c>
      <c r="L18" s="15" t="n">
        <v>0</v>
      </c>
      <c r="M18" s="13" t="n">
        <v>3</v>
      </c>
      <c r="N18" s="13" t="n">
        <v>3</v>
      </c>
      <c r="O18" s="13" t="n">
        <v>3</v>
      </c>
    </row>
    <row r="19" ht="14.55" customHeight="1">
      <c r="A19" s="5" t="inlineStr">
        <is>
          <t>CO4</t>
        </is>
      </c>
      <c r="B19" s="17" t="n">
        <v>3</v>
      </c>
      <c r="C19" s="13" t="n">
        <v>3</v>
      </c>
      <c r="D19" s="13" t="n">
        <v>3</v>
      </c>
      <c r="E19" s="13" t="n">
        <v>3</v>
      </c>
      <c r="F19" s="16" t="n">
        <v>3</v>
      </c>
      <c r="G19" s="16" t="n">
        <v>3</v>
      </c>
      <c r="H19" s="16" t="n">
        <v>3</v>
      </c>
      <c r="I19" s="16" t="n">
        <v>3</v>
      </c>
      <c r="J19" s="16" t="n">
        <v>3</v>
      </c>
      <c r="K19" s="15" t="n">
        <v>0</v>
      </c>
      <c r="L19" s="16" t="n">
        <v>3</v>
      </c>
      <c r="M19" s="16" t="n">
        <v>3</v>
      </c>
      <c r="N19" s="13" t="n">
        <v>3</v>
      </c>
      <c r="O19" s="13" t="n">
        <v>3</v>
      </c>
    </row>
    <row r="20" ht="14.55" customHeight="1">
      <c r="A20" s="5" t="inlineStr">
        <is>
          <t>CO5</t>
        </is>
      </c>
      <c r="B20" s="12" t="n">
        <v>0</v>
      </c>
      <c r="C20" s="13" t="n">
        <v>3</v>
      </c>
      <c r="D20" s="13" t="n">
        <v>3</v>
      </c>
      <c r="E20" s="13" t="n">
        <v>3</v>
      </c>
      <c r="F20" s="15" t="n"/>
      <c r="G20" s="15" t="n"/>
      <c r="H20" s="15" t="n"/>
      <c r="I20" s="15" t="n"/>
      <c r="J20" s="16" t="n">
        <v>3</v>
      </c>
      <c r="K20" s="16" t="n">
        <v>3</v>
      </c>
      <c r="L20" s="16" t="n">
        <v>3</v>
      </c>
      <c r="M20" s="16" t="n">
        <v>3</v>
      </c>
      <c r="N20" s="13" t="n">
        <v>3</v>
      </c>
      <c r="O20" s="13" t="n">
        <v>3</v>
      </c>
    </row>
    <row r="21">
      <c r="A21" s="5" t="inlineStr">
        <is>
          <t>CO6</t>
        </is>
      </c>
      <c r="B21" s="6" t="n">
        <v>0</v>
      </c>
      <c r="C21" s="6" t="n">
        <v>0</v>
      </c>
      <c r="D21" s="6" t="n">
        <v>0</v>
      </c>
      <c r="E21" s="6" t="n">
        <v>0</v>
      </c>
      <c r="F21" s="6" t="n">
        <v>2</v>
      </c>
      <c r="G21" s="6" t="n">
        <v>0</v>
      </c>
      <c r="H21" s="6" t="n">
        <v>0</v>
      </c>
      <c r="I21" s="6" t="n">
        <v>2</v>
      </c>
      <c r="J21" s="6" t="n">
        <v>0</v>
      </c>
      <c r="K21" s="6" t="n">
        <v>0</v>
      </c>
      <c r="L21" s="6" t="n">
        <v>0</v>
      </c>
      <c r="M21" s="6" t="n">
        <v>2</v>
      </c>
      <c r="N21" s="6" t="n">
        <v>2</v>
      </c>
      <c r="O21" s="6" t="n">
        <v>2</v>
      </c>
    </row>
    <row r="23">
      <c r="A23" s="1" t="inlineStr">
        <is>
          <t>Direct PO Attainment</t>
        </is>
      </c>
    </row>
    <row r="25">
      <c r="A25" s="4" t="inlineStr">
        <is>
          <t>Course Outcomes(COs)</t>
        </is>
      </c>
      <c r="B25" s="5" t="inlineStr">
        <is>
          <t>Programme Outcomes(POs)</t>
        </is>
      </c>
      <c r="C25" s="30" t="n"/>
      <c r="D25" s="30" t="n"/>
      <c r="E25" s="30" t="n"/>
      <c r="F25" s="30" t="n"/>
      <c r="G25" s="30" t="n"/>
      <c r="H25" s="30" t="n"/>
      <c r="I25" s="30" t="n"/>
      <c r="J25" s="30" t="n"/>
      <c r="K25" s="30" t="n"/>
      <c r="L25" s="30" t="n"/>
      <c r="M25" s="31" t="n"/>
      <c r="N25" s="5" t="inlineStr">
        <is>
          <t>PSOs</t>
        </is>
      </c>
      <c r="O25" s="31" t="n"/>
    </row>
    <row r="26">
      <c r="A26" s="24" t="n"/>
      <c r="B26" s="5" t="inlineStr">
        <is>
          <t>PO1</t>
        </is>
      </c>
      <c r="C26" s="5" t="inlineStr">
        <is>
          <t>PO2</t>
        </is>
      </c>
      <c r="D26" s="5" t="inlineStr">
        <is>
          <t>PO3</t>
        </is>
      </c>
      <c r="E26" s="5" t="inlineStr">
        <is>
          <t>PO4</t>
        </is>
      </c>
      <c r="F26" s="5" t="inlineStr">
        <is>
          <t>PO5</t>
        </is>
      </c>
      <c r="G26" s="5" t="inlineStr">
        <is>
          <t>PO6</t>
        </is>
      </c>
      <c r="H26" s="5" t="inlineStr">
        <is>
          <t>PO7</t>
        </is>
      </c>
      <c r="I26" s="5" t="inlineStr">
        <is>
          <t>PO8</t>
        </is>
      </c>
      <c r="J26" s="5" t="inlineStr">
        <is>
          <t>PO9</t>
        </is>
      </c>
      <c r="K26" s="5" t="inlineStr">
        <is>
          <t>PO10</t>
        </is>
      </c>
      <c r="L26" s="5" t="inlineStr">
        <is>
          <t>PO11</t>
        </is>
      </c>
      <c r="M26" s="5" t="inlineStr">
        <is>
          <t>PO12</t>
        </is>
      </c>
      <c r="N26" s="5" t="inlineStr">
        <is>
          <t>PSO1</t>
        </is>
      </c>
      <c r="O26" s="5" t="inlineStr">
        <is>
          <t>PSO2</t>
        </is>
      </c>
    </row>
    <row r="27">
      <c r="A27" s="5" t="inlineStr">
        <is>
          <t>CO1</t>
        </is>
      </c>
      <c r="B27">
        <f>Attainment!D43</f>
        <v/>
      </c>
      <c r="C27">
        <f>Attainment!D43</f>
        <v/>
      </c>
      <c r="D27">
        <f>Attainment!D43</f>
        <v/>
      </c>
      <c r="E27">
        <f>Attainment!D43</f>
        <v/>
      </c>
      <c r="F27">
        <f>Attainment!D43</f>
        <v/>
      </c>
      <c r="G27">
        <f>Attainment!D43</f>
        <v/>
      </c>
      <c r="H27">
        <f>Attainment!D43</f>
        <v/>
      </c>
      <c r="I27">
        <f>Attainment!D43</f>
        <v/>
      </c>
      <c r="J27">
        <f>Attainment!D43</f>
        <v/>
      </c>
      <c r="K27">
        <f>Attainment!D43</f>
        <v/>
      </c>
      <c r="L27">
        <f>Attainment!D43</f>
        <v/>
      </c>
      <c r="M27">
        <f>Attainment!D43</f>
        <v/>
      </c>
      <c r="N27">
        <f>Attainment!D43</f>
        <v/>
      </c>
      <c r="O27">
        <f>Attainment!D43</f>
        <v/>
      </c>
    </row>
    <row r="28">
      <c r="A28" s="5" t="inlineStr">
        <is>
          <t>CO2</t>
        </is>
      </c>
      <c r="B28">
        <f>Attainment!D44</f>
        <v/>
      </c>
      <c r="C28">
        <f>Attainment!D44</f>
        <v/>
      </c>
      <c r="D28">
        <f>Attainment!D44</f>
        <v/>
      </c>
      <c r="E28">
        <f>Attainment!D44</f>
        <v/>
      </c>
      <c r="F28">
        <f>Attainment!D44</f>
        <v/>
      </c>
      <c r="G28">
        <f>Attainment!D44</f>
        <v/>
      </c>
      <c r="H28">
        <f>Attainment!D44</f>
        <v/>
      </c>
      <c r="I28">
        <f>Attainment!D44</f>
        <v/>
      </c>
      <c r="J28">
        <f>Attainment!D44</f>
        <v/>
      </c>
      <c r="K28">
        <f>Attainment!D44</f>
        <v/>
      </c>
      <c r="L28">
        <f>Attainment!D44</f>
        <v/>
      </c>
      <c r="M28">
        <f>Attainment!D44</f>
        <v/>
      </c>
      <c r="N28">
        <f>Attainment!D44</f>
        <v/>
      </c>
      <c r="O28">
        <f>Attainment!D44</f>
        <v/>
      </c>
    </row>
    <row r="29">
      <c r="A29" s="5" t="inlineStr">
        <is>
          <t>CO3</t>
        </is>
      </c>
      <c r="B29">
        <f>Attainment!D45</f>
        <v/>
      </c>
      <c r="C29">
        <f>Attainment!D45</f>
        <v/>
      </c>
      <c r="D29">
        <f>Attainment!D45</f>
        <v/>
      </c>
      <c r="E29">
        <f>Attainment!D45</f>
        <v/>
      </c>
      <c r="F29">
        <f>Attainment!D45</f>
        <v/>
      </c>
      <c r="G29">
        <f>Attainment!D45</f>
        <v/>
      </c>
      <c r="H29">
        <f>Attainment!D45</f>
        <v/>
      </c>
      <c r="I29">
        <f>Attainment!D45</f>
        <v/>
      </c>
      <c r="J29">
        <f>Attainment!D45</f>
        <v/>
      </c>
      <c r="K29">
        <f>Attainment!D45</f>
        <v/>
      </c>
      <c r="L29">
        <f>Attainment!D45</f>
        <v/>
      </c>
      <c r="M29">
        <f>Attainment!D45</f>
        <v/>
      </c>
      <c r="N29">
        <f>Attainment!D45</f>
        <v/>
      </c>
      <c r="O29">
        <f>Attainment!D45</f>
        <v/>
      </c>
    </row>
    <row r="30">
      <c r="A30" s="5" t="inlineStr">
        <is>
          <t>CO4</t>
        </is>
      </c>
      <c r="B30">
        <f>Attainment!D46</f>
        <v/>
      </c>
      <c r="C30">
        <f>Attainment!D46</f>
        <v/>
      </c>
      <c r="D30">
        <f>Attainment!D46</f>
        <v/>
      </c>
      <c r="E30">
        <f>Attainment!D46</f>
        <v/>
      </c>
      <c r="F30">
        <f>Attainment!D46</f>
        <v/>
      </c>
      <c r="G30">
        <f>Attainment!D46</f>
        <v/>
      </c>
      <c r="H30">
        <f>Attainment!D46</f>
        <v/>
      </c>
      <c r="I30">
        <f>Attainment!D46</f>
        <v/>
      </c>
      <c r="J30">
        <f>Attainment!D46</f>
        <v/>
      </c>
      <c r="K30">
        <f>Attainment!D46</f>
        <v/>
      </c>
      <c r="L30">
        <f>Attainment!D46</f>
        <v/>
      </c>
      <c r="M30">
        <f>Attainment!D46</f>
        <v/>
      </c>
      <c r="N30">
        <f>Attainment!D46</f>
        <v/>
      </c>
      <c r="O30">
        <f>Attainment!D46</f>
        <v/>
      </c>
    </row>
    <row r="31">
      <c r="A31" s="5" t="inlineStr">
        <is>
          <t>CO5</t>
        </is>
      </c>
      <c r="B31">
        <f>Attainment!D47</f>
        <v/>
      </c>
      <c r="C31">
        <f>Attainment!D47</f>
        <v/>
      </c>
      <c r="D31">
        <f>Attainment!D47</f>
        <v/>
      </c>
      <c r="E31">
        <f>Attainment!D47</f>
        <v/>
      </c>
      <c r="F31">
        <f>Attainment!D47</f>
        <v/>
      </c>
      <c r="G31">
        <f>Attainment!D47</f>
        <v/>
      </c>
      <c r="H31">
        <f>Attainment!D47</f>
        <v/>
      </c>
      <c r="I31">
        <f>Attainment!D47</f>
        <v/>
      </c>
      <c r="J31">
        <f>Attainment!D47</f>
        <v/>
      </c>
      <c r="K31">
        <f>Attainment!D47</f>
        <v/>
      </c>
      <c r="L31">
        <f>Attainment!D47</f>
        <v/>
      </c>
      <c r="M31">
        <f>Attainment!D47</f>
        <v/>
      </c>
      <c r="N31">
        <f>Attainment!D47</f>
        <v/>
      </c>
      <c r="O31">
        <f>Attainment!D47</f>
        <v/>
      </c>
    </row>
    <row r="32">
      <c r="A32" s="5" t="inlineStr">
        <is>
          <t>CO6</t>
        </is>
      </c>
      <c r="B32">
        <f>Attainment!D48</f>
        <v/>
      </c>
      <c r="C32">
        <f>Attainment!D48</f>
        <v/>
      </c>
      <c r="D32">
        <f>Attainment!D48</f>
        <v/>
      </c>
      <c r="E32">
        <f>Attainment!D48</f>
        <v/>
      </c>
      <c r="F32">
        <f>Attainment!D48</f>
        <v/>
      </c>
      <c r="G32">
        <f>Attainment!D48</f>
        <v/>
      </c>
      <c r="H32">
        <f>Attainment!D48</f>
        <v/>
      </c>
      <c r="I32">
        <f>Attainment!D48</f>
        <v/>
      </c>
      <c r="J32">
        <f>Attainment!D48</f>
        <v/>
      </c>
      <c r="K32">
        <f>Attainment!D48</f>
        <v/>
      </c>
      <c r="L32">
        <f>Attainment!D48</f>
        <v/>
      </c>
      <c r="M32">
        <f>Attainment!D48</f>
        <v/>
      </c>
      <c r="N32">
        <f>Attainment!D48</f>
        <v/>
      </c>
      <c r="O32">
        <f>Attainment!D48</f>
        <v/>
      </c>
    </row>
    <row r="34">
      <c r="A34" s="1" t="inlineStr">
        <is>
          <t>Direct PO Attainment (After Applying CO-PO Mapping)</t>
        </is>
      </c>
    </row>
    <row r="36">
      <c r="A36" s="4" t="inlineStr">
        <is>
          <t>Course Outcomes(COs)</t>
        </is>
      </c>
      <c r="B36" s="5" t="inlineStr">
        <is>
          <t>Programme Outcomes(POs)</t>
        </is>
      </c>
      <c r="C36" s="30" t="n"/>
      <c r="D36" s="30" t="n"/>
      <c r="E36" s="30" t="n"/>
      <c r="F36" s="30" t="n"/>
      <c r="G36" s="30" t="n"/>
      <c r="H36" s="30" t="n"/>
      <c r="I36" s="30" t="n"/>
      <c r="J36" s="30" t="n"/>
      <c r="K36" s="30" t="n"/>
      <c r="L36" s="30" t="n"/>
      <c r="M36" s="31" t="n"/>
      <c r="N36" s="5" t="inlineStr">
        <is>
          <t>PSOs</t>
        </is>
      </c>
      <c r="O36" s="31" t="n"/>
    </row>
    <row r="37">
      <c r="A37" s="24" t="n"/>
      <c r="B37" s="5" t="inlineStr">
        <is>
          <t>PO1</t>
        </is>
      </c>
      <c r="C37" s="5" t="inlineStr">
        <is>
          <t>PO2</t>
        </is>
      </c>
      <c r="D37" s="5" t="inlineStr">
        <is>
          <t>PO3</t>
        </is>
      </c>
      <c r="E37" s="5" t="inlineStr">
        <is>
          <t>PO4</t>
        </is>
      </c>
      <c r="F37" s="5" t="inlineStr">
        <is>
          <t>PO5</t>
        </is>
      </c>
      <c r="G37" s="5" t="inlineStr">
        <is>
          <t>PO6</t>
        </is>
      </c>
      <c r="H37" s="5" t="inlineStr">
        <is>
          <t>PO7</t>
        </is>
      </c>
      <c r="I37" s="5" t="inlineStr">
        <is>
          <t>PO8</t>
        </is>
      </c>
      <c r="J37" s="5" t="inlineStr">
        <is>
          <t>PO9</t>
        </is>
      </c>
      <c r="K37" s="5" t="inlineStr">
        <is>
          <t>PO10</t>
        </is>
      </c>
      <c r="L37" s="5" t="inlineStr">
        <is>
          <t>PO11</t>
        </is>
      </c>
      <c r="M37" s="5" t="inlineStr">
        <is>
          <t>PO12</t>
        </is>
      </c>
      <c r="N37" s="5" t="inlineStr">
        <is>
          <t>PSO1</t>
        </is>
      </c>
      <c r="O37" s="5" t="inlineStr">
        <is>
          <t>PSO2</t>
        </is>
      </c>
    </row>
    <row r="38">
      <c r="A38" s="5" t="inlineStr">
        <is>
          <t>CO1</t>
        </is>
      </c>
      <c r="B38" s="6">
        <f>IF(B16=3, B27, IF(B16=2, B27*0.6, IF(B16=1, B27*0.4, 0)))</f>
        <v/>
      </c>
      <c r="C38" s="6">
        <f>IF(C16=3, C27, IF(C16=2, C27*0.6, IF(C16=1, C27*0.4, 0)))</f>
        <v/>
      </c>
      <c r="D38" s="6">
        <f>IF(D16=3, D27, IF(D16=2, D27*0.6, IF(D16=1, D27*0.4, 0)))</f>
        <v/>
      </c>
      <c r="E38" s="6">
        <f>IF(E16=3, E27, IF(E16=2, E27*0.6, IF(E16=1, E27*0.4, 0)))</f>
        <v/>
      </c>
      <c r="F38" s="6">
        <f>IF(F16=3, F27, IF(F16=2, F27*0.6, IF(F16=1, F27*0.4, 0)))</f>
        <v/>
      </c>
      <c r="G38" s="6">
        <f>IF(G16=3, G27, IF(G16=2, G27*0.6, IF(G16=1, G27*0.4, 0)))</f>
        <v/>
      </c>
      <c r="H38" s="6">
        <f>IF(H16=3, H27, IF(H16=2, H27*0.6, IF(H16=1, H27*0.4, 0)))</f>
        <v/>
      </c>
      <c r="I38" s="6">
        <f>IF(I16=3, I27, IF(I16=2, I27*0.6, IF(I16=1, I27*0.4, 0)))</f>
        <v/>
      </c>
      <c r="J38" s="6">
        <f>IF(J16=3, J27, IF(J16=2, J27*0.6, IF(J16=1, J27*0.4, 0)))</f>
        <v/>
      </c>
      <c r="K38" s="6">
        <f>IF(K16=3, K27, IF(K16=2, K27*0.6, IF(K16=1, K27*0.4, 0)))</f>
        <v/>
      </c>
      <c r="L38" s="6">
        <f>IF(L16=3, L27, IF(L16=2, L27*0.6, IF(L16=1, L27*0.4, 0)))</f>
        <v/>
      </c>
      <c r="M38" s="6">
        <f>IF(M16=3, M27, IF(M16=2, M27*0.6, IF(M16=1, M27*0.4, 0)))</f>
        <v/>
      </c>
      <c r="N38" s="6">
        <f>IF(N16=3, N27, IF(N16=2, N27*0.6, IF(N16=1, N27*0.4, 0)))</f>
        <v/>
      </c>
      <c r="O38" s="6">
        <f>IF(O16=3, O27, IF(O16=2, O27*0.6, IF(O16=1, O27*0.4, 0)))</f>
        <v/>
      </c>
    </row>
    <row r="39">
      <c r="A39" s="5" t="inlineStr">
        <is>
          <t>CO2</t>
        </is>
      </c>
      <c r="B39" s="6">
        <f>IF(B17=3, B28, IF(B17=2, B28*0.6, IF(B17=1, B28*0.4, 0)))</f>
        <v/>
      </c>
      <c r="C39" s="6">
        <f>IF(C17=3, C28, IF(C17=2, C28*0.6, IF(C17=1, C28*0.4, 0)))</f>
        <v/>
      </c>
      <c r="D39" s="6">
        <f>IF(D17=3, D28, IF(D17=2, D28*0.6, IF(D17=1, D28*0.4, 0)))</f>
        <v/>
      </c>
      <c r="E39" s="6">
        <f>IF(E17=3, E28, IF(E17=2, E28*0.6, IF(E17=1, E28*0.4, 0)))</f>
        <v/>
      </c>
      <c r="F39" s="6">
        <f>IF(F17=3, F28, IF(F17=2, F28*0.6, IF(F17=1, F28*0.4, 0)))</f>
        <v/>
      </c>
      <c r="G39" s="6">
        <f>IF(G17=3, G28, IF(G17=2, G28*0.6, IF(G17=1, G28*0.4, 0)))</f>
        <v/>
      </c>
      <c r="H39" s="6">
        <f>IF(H17=3, H28, IF(H17=2, H28*0.6, IF(H17=1, H28*0.4, 0)))</f>
        <v/>
      </c>
      <c r="I39" s="6">
        <f>IF(I17=3, I28, IF(I17=2, I28*0.6, IF(I17=1, I28*0.4, 0)))</f>
        <v/>
      </c>
      <c r="J39" s="6">
        <f>IF(J17=3, J28, IF(J17=2, J28*0.6, IF(J17=1, J28*0.4, 0)))</f>
        <v/>
      </c>
      <c r="K39" s="6">
        <f>IF(K17=3, K28, IF(K17=2, K28*0.6, IF(K17=1, K28*0.4, 0)))</f>
        <v/>
      </c>
      <c r="L39" s="6">
        <f>IF(L17=3, L28, IF(L17=2, L28*0.6, IF(L17=1, L28*0.4, 0)))</f>
        <v/>
      </c>
      <c r="M39" s="6">
        <f>IF(M17=3, M28, IF(M17=2, M28*0.6, IF(M17=1, M28*0.4, 0)))</f>
        <v/>
      </c>
      <c r="N39" s="6">
        <f>IF(N17=3, N28, IF(N17=2, N28*0.6, IF(N17=1, N28*0.4, 0)))</f>
        <v/>
      </c>
      <c r="O39" s="6">
        <f>IF(O17=3, O28, IF(O17=2, O28*0.6, IF(O17=1, O28*0.4, 0)))</f>
        <v/>
      </c>
    </row>
    <row r="40">
      <c r="A40" s="5" t="inlineStr">
        <is>
          <t>CO3</t>
        </is>
      </c>
      <c r="B40" s="6">
        <f>IF(B18=3, B29, IF(B18=2, B29*0.6, IF(B18=1, B29*0.4, 0)))</f>
        <v/>
      </c>
      <c r="C40" s="6">
        <f>IF(C18=3, C29, IF(C18=2, C29*0.6, IF(C18=1, C29*0.4, 0)))</f>
        <v/>
      </c>
      <c r="D40" s="6">
        <f>IF(D18=3, D29, IF(D18=2, D29*0.6, IF(D18=1, D29*0.4, 0)))</f>
        <v/>
      </c>
      <c r="E40" s="6">
        <f>IF(E18=3, E29, IF(E18=2, E29*0.6, IF(E18=1, E29*0.4, 0)))</f>
        <v/>
      </c>
      <c r="F40" s="6">
        <f>IF(F18=3, F29, IF(F18=2, F29*0.6, IF(F18=1, F29*0.4, 0)))</f>
        <v/>
      </c>
      <c r="G40" s="6">
        <f>IF(G18=3, G29, IF(G18=2, G29*0.6, IF(G18=1, G29*0.4, 0)))</f>
        <v/>
      </c>
      <c r="H40" s="6">
        <f>IF(H18=3, H29, IF(H18=2, H29*0.6, IF(H18=1, H29*0.4, 0)))</f>
        <v/>
      </c>
      <c r="I40" s="6">
        <f>IF(I18=3, I29, IF(I18=2, I29*0.6, IF(I18=1, I29*0.4, 0)))</f>
        <v/>
      </c>
      <c r="J40" s="6">
        <f>IF(J18=3, J29, IF(J18=2, J29*0.6, IF(J18=1, J29*0.4, 0)))</f>
        <v/>
      </c>
      <c r="K40" s="6">
        <f>IF(K18=3, K29, IF(K18=2, K29*0.6, IF(K18=1, K29*0.4, 0)))</f>
        <v/>
      </c>
      <c r="L40" s="6">
        <f>IF(L18=3, L29, IF(L18=2, L29*0.6, IF(L18=1, L29*0.4, 0)))</f>
        <v/>
      </c>
      <c r="M40" s="6">
        <f>IF(M18=3, M29, IF(M18=2, M29*0.6, IF(M18=1, M29*0.4, 0)))</f>
        <v/>
      </c>
      <c r="N40" s="6">
        <f>IF(N18=3, N29, IF(N18=2, N29*0.6, IF(N18=1, N29*0.4, 0)))</f>
        <v/>
      </c>
      <c r="O40" s="6">
        <f>IF(O18=3, O29, IF(O18=2, O29*0.6, IF(O18=1, O29*0.4, 0)))</f>
        <v/>
      </c>
    </row>
    <row r="41">
      <c r="A41" s="5" t="inlineStr">
        <is>
          <t>CO4</t>
        </is>
      </c>
      <c r="B41" s="6">
        <f>IF(B19=3, B30, IF(B19=2, B30*0.6, IF(B19=1, B30*0.4, 0)))</f>
        <v/>
      </c>
      <c r="C41" s="6">
        <f>IF(C19=3, C30, IF(C19=2, C30*0.6, IF(C19=1, C30*0.4, 0)))</f>
        <v/>
      </c>
      <c r="D41" s="6">
        <f>IF(D19=3, D30, IF(D19=2, D30*0.6, IF(D19=1, D30*0.4, 0)))</f>
        <v/>
      </c>
      <c r="E41" s="6">
        <f>IF(E19=3, E30, IF(E19=2, E30*0.6, IF(E19=1, E30*0.4, 0)))</f>
        <v/>
      </c>
      <c r="F41" s="6">
        <f>IF(F19=3, F30, IF(F19=2, F30*0.6, IF(F19=1, F30*0.4, 0)))</f>
        <v/>
      </c>
      <c r="G41" s="6">
        <f>IF(G19=3, G30, IF(G19=2, G30*0.6, IF(G19=1, G30*0.4, 0)))</f>
        <v/>
      </c>
      <c r="H41" s="6">
        <f>IF(H19=3, H30, IF(H19=2, H30*0.6, IF(H19=1, H30*0.4, 0)))</f>
        <v/>
      </c>
      <c r="I41" s="6">
        <f>IF(I19=3, I30, IF(I19=2, I30*0.6, IF(I19=1, I30*0.4, 0)))</f>
        <v/>
      </c>
      <c r="J41" s="6">
        <f>IF(J19=3, J30, IF(J19=2, J30*0.6, IF(J19=1, J30*0.4, 0)))</f>
        <v/>
      </c>
      <c r="K41" s="6">
        <f>IF(K19=3, K30, IF(K19=2, K30*0.6, IF(K19=1, K30*0.4, 0)))</f>
        <v/>
      </c>
      <c r="L41" s="6">
        <f>IF(L19=3, L30, IF(L19=2, L30*0.6, IF(L19=1, L30*0.4, 0)))</f>
        <v/>
      </c>
      <c r="M41" s="6">
        <f>IF(M19=3, M30, IF(M19=2, M30*0.6, IF(M19=1, M30*0.4, 0)))</f>
        <v/>
      </c>
      <c r="N41" s="6">
        <f>IF(N19=3, N30, IF(N19=2, N30*0.6, IF(N19=1, N30*0.4, 0)))</f>
        <v/>
      </c>
      <c r="O41" s="6">
        <f>IF(O19=3, O30, IF(O19=2, O30*0.6, IF(O19=1, O30*0.4, 0)))</f>
        <v/>
      </c>
    </row>
    <row r="42">
      <c r="A42" s="5" t="inlineStr">
        <is>
          <t>CO5</t>
        </is>
      </c>
      <c r="B42" s="6">
        <f>IF(B20=3, B31, IF(B20=2, B31*0.6, IF(B20=1, B31*0.4, 0)))</f>
        <v/>
      </c>
      <c r="C42" s="6">
        <f>IF(C20=3, C31, IF(C20=2, C31*0.6, IF(C20=1, C31*0.4, 0)))</f>
        <v/>
      </c>
      <c r="D42" s="6">
        <f>IF(D20=3, D31, IF(D20=2, D31*0.6, IF(D20=1, D31*0.4, 0)))</f>
        <v/>
      </c>
      <c r="E42" s="6">
        <f>IF(E20=3, E31, IF(E20=2, E31*0.6, IF(E20=1, E31*0.4, 0)))</f>
        <v/>
      </c>
      <c r="F42" s="6" t="inlineStr"/>
      <c r="G42" s="6" t="inlineStr"/>
      <c r="H42" s="6" t="inlineStr"/>
      <c r="I42" s="6" t="inlineStr"/>
      <c r="J42" s="6">
        <f>IF(J20=3, J31, IF(J20=2, J31*0.6, IF(J20=1, J31*0.4, 0)))</f>
        <v/>
      </c>
      <c r="K42" s="6">
        <f>IF(K20=3, K31, IF(K20=2, K31*0.6, IF(K20=1, K31*0.4, 0)))</f>
        <v/>
      </c>
      <c r="L42" s="6">
        <f>IF(L20=3, L31, IF(L20=2, L31*0.6, IF(L20=1, L31*0.4, 0)))</f>
        <v/>
      </c>
      <c r="M42" s="6">
        <f>IF(M20=3, M31, IF(M20=2, M31*0.6, IF(M20=1, M31*0.4, 0)))</f>
        <v/>
      </c>
      <c r="N42" s="6">
        <f>IF(N20=3, N31, IF(N20=2, N31*0.6, IF(N20=1, N31*0.4, 0)))</f>
        <v/>
      </c>
      <c r="O42" s="6">
        <f>IF(O20=3, O31, IF(O20=2, O31*0.6, IF(O20=1, O31*0.4, 0)))</f>
        <v/>
      </c>
    </row>
    <row r="43">
      <c r="A43" s="5" t="inlineStr">
        <is>
          <t>CO6</t>
        </is>
      </c>
      <c r="B43" s="6">
        <f>IF(B21=3, B32, IF(B21=2, B32*0.6, IF(B21=1, B32*0.4, 0)))</f>
        <v/>
      </c>
      <c r="C43" s="6">
        <f>IF(C21=3, C32, IF(C21=2, C32*0.6, IF(C21=1, C32*0.4, 0)))</f>
        <v/>
      </c>
      <c r="D43" s="6">
        <f>IF(D21=3, D32, IF(D21=2, D32*0.6, IF(D21=1, D32*0.4, 0)))</f>
        <v/>
      </c>
      <c r="E43" s="6">
        <f>IF(E21=3, E32, IF(E21=2, E32*0.6, IF(E21=1, E32*0.4, 0)))</f>
        <v/>
      </c>
      <c r="F43" s="6">
        <f>IF(F21=3, F32, IF(F21=2, F32*0.6, IF(F21=1, F32*0.4, 0)))</f>
        <v/>
      </c>
      <c r="G43" s="6">
        <f>IF(G21=3, G32, IF(G21=2, G32*0.6, IF(G21=1, G32*0.4, 0)))</f>
        <v/>
      </c>
      <c r="H43" s="6">
        <f>IF(H21=3, H32, IF(H21=2, H32*0.6, IF(H21=1, H32*0.4, 0)))</f>
        <v/>
      </c>
      <c r="I43" s="6">
        <f>IF(I21=3, I32, IF(I21=2, I32*0.6, IF(I21=1, I32*0.4, 0)))</f>
        <v/>
      </c>
      <c r="J43" s="6">
        <f>IF(J21=3, J32, IF(J21=2, J32*0.6, IF(J21=1, J32*0.4, 0)))</f>
        <v/>
      </c>
      <c r="K43" s="6">
        <f>IF(K21=3, K32, IF(K21=2, K32*0.6, IF(K21=1, K32*0.4, 0)))</f>
        <v/>
      </c>
      <c r="L43" s="6">
        <f>IF(L21=3, L32, IF(L21=2, L32*0.6, IF(L21=1, L32*0.4, 0)))</f>
        <v/>
      </c>
      <c r="M43" s="6">
        <f>IF(M21=3, M32, IF(M21=2, M32*0.6, IF(M21=1, M32*0.4, 0)))</f>
        <v/>
      </c>
      <c r="N43" s="6">
        <f>IF(N21=3, N32, IF(N21=2, N32*0.6, IF(N21=1, N32*0.4, 0)))</f>
        <v/>
      </c>
      <c r="O43" s="6">
        <f>IF(O21=3, O32, IF(O21=2, O32*0.6, IF(O21=1, O32*0.4, 0)))</f>
        <v/>
      </c>
    </row>
    <row r="44">
      <c r="A44" s="5" t="inlineStr">
        <is>
          <t>Avg PO</t>
        </is>
      </c>
      <c r="B44" s="5">
        <f>ROUND(AVERAGE(B38:B43),1)</f>
        <v/>
      </c>
      <c r="C44" s="5">
        <f>ROUND(AVERAGE(C38:C43),1)</f>
        <v/>
      </c>
      <c r="D44" s="5">
        <f>ROUND(AVERAGE(D38:D43),1)</f>
        <v/>
      </c>
      <c r="E44" s="5">
        <f>ROUND(AVERAGE(E38:E43),1)</f>
        <v/>
      </c>
      <c r="F44" s="5">
        <f>ROUND(AVERAGE(F38:F43),1)</f>
        <v/>
      </c>
      <c r="G44" s="5">
        <f>ROUND(AVERAGE(G38:G43),1)</f>
        <v/>
      </c>
      <c r="H44" s="5">
        <f>ROUND(AVERAGE(H38:H43),1)</f>
        <v/>
      </c>
      <c r="I44" s="5">
        <f>ROUND(AVERAGE(I38:I43),1)</f>
        <v/>
      </c>
      <c r="J44" s="5">
        <f>ROUND(AVERAGE(J38:J43),1)</f>
        <v/>
      </c>
      <c r="K44" s="5">
        <f>ROUND(AVERAGE(K38:K43),1)</f>
        <v/>
      </c>
      <c r="L44" s="5">
        <f>ROUND(AVERAGE(L38:L43),1)</f>
        <v/>
      </c>
      <c r="M44" s="5">
        <f>ROUND(AVERAGE(M38:M43),1)</f>
        <v/>
      </c>
      <c r="N44" s="5">
        <f>ROUND(AVERAGE(N38:N43),1)</f>
        <v/>
      </c>
      <c r="O44" s="5">
        <f>ROUND(AVERAGE(O38:O43),1)</f>
        <v/>
      </c>
    </row>
    <row r="47">
      <c r="A47" s="5" t="inlineStr">
        <is>
          <t>AL</t>
        </is>
      </c>
      <c r="B47" s="5" t="inlineStr">
        <is>
          <t>%</t>
        </is>
      </c>
    </row>
    <row r="48">
      <c r="A48" s="6" t="inlineStr">
        <is>
          <t>1</t>
        </is>
      </c>
      <c r="B48" s="6" t="inlineStr">
        <is>
          <t>40</t>
        </is>
      </c>
    </row>
    <row r="49">
      <c r="A49" s="6" t="inlineStr">
        <is>
          <t>2</t>
        </is>
      </c>
      <c r="B49" s="6" t="inlineStr">
        <is>
          <t>60</t>
        </is>
      </c>
    </row>
    <row r="50">
      <c r="A50" s="6" t="inlineStr">
        <is>
          <t>3</t>
        </is>
      </c>
      <c r="B50" s="6" t="inlineStr">
        <is>
          <t>100</t>
        </is>
      </c>
    </row>
  </sheetData>
  <mergeCells count="22">
    <mergeCell ref="A7:O7"/>
    <mergeCell ref="B14:M14"/>
    <mergeCell ref="N25:O25"/>
    <mergeCell ref="A36:A37"/>
    <mergeCell ref="A3:O3"/>
    <mergeCell ref="A12:O12"/>
    <mergeCell ref="A2:O2"/>
    <mergeCell ref="A25:A26"/>
    <mergeCell ref="A5:O5"/>
    <mergeCell ref="A23:O23"/>
    <mergeCell ref="A8:O8"/>
    <mergeCell ref="A4:O4"/>
    <mergeCell ref="N14:O14"/>
    <mergeCell ref="A14:A15"/>
    <mergeCell ref="A10:O10"/>
    <mergeCell ref="B36:M36"/>
    <mergeCell ref="A34:O34"/>
    <mergeCell ref="A9:O9"/>
    <mergeCell ref="B25:M25"/>
    <mergeCell ref="A1:O1"/>
    <mergeCell ref="A6:O6"/>
    <mergeCell ref="N36:O36"/>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9"/>
  <sheetViews>
    <sheetView workbookViewId="0">
      <selection activeCell="F24" sqref="F24"/>
    </sheetView>
  </sheetViews>
  <sheetFormatPr baseColWidth="8" defaultColWidth="9" defaultRowHeight="14.4"/>
  <sheetData>
    <row r="1">
      <c r="A1" t="inlineStr">
        <is>
          <t>Basic Information</t>
        </is>
      </c>
    </row>
    <row r="3">
      <c r="A3" t="inlineStr">
        <is>
          <t>TargetCA1Text</t>
        </is>
      </c>
      <c r="B3" t="inlineStr">
        <is>
          <t>40</t>
        </is>
      </c>
    </row>
    <row r="4">
      <c r="A4" t="inlineStr">
        <is>
          <t>TargetCA2Text</t>
        </is>
      </c>
      <c r="B4" t="inlineStr">
        <is>
          <t>45</t>
        </is>
      </c>
    </row>
    <row r="5">
      <c r="A5" t="inlineStr">
        <is>
          <t>TargetCA3Text</t>
        </is>
      </c>
      <c r="B5" t="inlineStr">
        <is>
          <t>50</t>
        </is>
      </c>
    </row>
    <row r="6">
      <c r="A6" t="inlineStr">
        <is>
          <t>TargetMidTermText</t>
        </is>
      </c>
      <c r="B6" t="inlineStr">
        <is>
          <t>52.5</t>
        </is>
      </c>
    </row>
    <row r="7">
      <c r="A7" t="inlineStr">
        <is>
          <t>TargetEndSemText</t>
        </is>
      </c>
      <c r="B7" t="inlineStr">
        <is>
          <t>60</t>
        </is>
      </c>
    </row>
    <row r="9">
      <c r="A9" t="inlineStr">
        <is>
          <t>No. of COs</t>
        </is>
      </c>
      <c r="B9" t="n">
        <v>6</v>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2024-12-17T02:11:00Z</dcterms:created>
  <dcterms:modified xsi:type="dcterms:W3CDTF">2024-12-17T03:03:28Z</dcterms:modified>
  <cp:lastModifiedBy>saira</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FFA3F89F8E3F4E9D989D4839E01701FB_12</vt:lpwstr>
  </property>
  <property name="KSOProductBuildVer" fmtid="{D5CDD505-2E9C-101B-9397-08002B2CF9AE}" pid="3">
    <vt:lpwstr>2057-12.2.0.18639</vt:lpwstr>
  </property>
</Properties>
</file>